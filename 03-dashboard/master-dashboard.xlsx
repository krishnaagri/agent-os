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LLERS" sheetId="2" state="visible" r:id="rId2"/>
    <sheet xmlns:r="http://schemas.openxmlformats.org/officeDocument/2006/relationships" name="DAILY-LOG" sheetId="3" state="visible" r:id="rId3"/>
    <sheet xmlns:r="http://schemas.openxmlformats.org/officeDocument/2006/relationships" name="KPI-TRACKER" sheetId="4" state="visible" r:id="rId4"/>
    <sheet xmlns:r="http://schemas.openxmlformats.org/officeDocument/2006/relationships" name="PNL-MONTHLY" sheetId="5" state="visible" r:id="rId5"/>
    <sheet xmlns:r="http://schemas.openxmlformats.org/officeDocument/2006/relationships" name="COSTS" sheetId="6" state="visible" r:id="rId6"/>
    <sheet xmlns:r="http://schemas.openxmlformats.org/officeDocument/2006/relationships" name="INCIDENT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374151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2" customWidth="1" min="4" max="4"/>
    <col width="16" customWidth="1" min="5" max="5"/>
    <col width="16" customWidth="1" min="6" max="6"/>
    <col width="10" customWidth="1" min="7" max="7"/>
  </cols>
  <sheetData>
    <row r="2">
      <c r="B2" s="1" t="inlineStr">
        <is>
          <t>FLIPKART AGENT OS — MASTER DASHBOARD</t>
        </is>
      </c>
    </row>
    <row r="3">
      <c r="B3" s="2" t="inlineStr">
        <is>
          <t>10-seller portfolio control center | Generated: 2026-09-08</t>
        </is>
      </c>
    </row>
    <row r="5">
      <c r="B5" s="2" t="inlineStr">
        <is>
          <t>TODAY AT A GLANCE</t>
        </is>
      </c>
    </row>
    <row r="6">
      <c r="B6" s="3" t="inlineStr">
        <is>
          <t>Sellers Live</t>
        </is>
      </c>
      <c r="C6">
        <f>COUNTA(SELLERS!A2:A11)</f>
        <v/>
      </c>
    </row>
    <row r="7">
      <c r="B7" s="3" t="inlineStr">
        <is>
          <t>GMV (kal)</t>
        </is>
      </c>
      <c r="C7" s="4">
        <f>SUM(DAILY-LOG!G:G)</f>
        <v/>
      </c>
    </row>
    <row r="8">
      <c r="B8" s="3" t="inlineStr">
        <is>
          <t>Aapka Cut (kal)</t>
        </is>
      </c>
      <c r="C8" s="4">
        <f>SUM(DAILY-LOG!I:I)</f>
        <v/>
      </c>
    </row>
    <row r="9">
      <c r="B9" s="3" t="inlineStr">
        <is>
          <t>Open Incidents (P0/P1)</t>
        </is>
      </c>
      <c r="C9" s="5">
        <f>COUNTIF(INCIDENTS!F:F,"OPEN")</f>
        <v/>
      </c>
    </row>
    <row r="10">
      <c r="B10" s="3" t="inlineStr">
        <is>
          <t>Active Tasks</t>
        </is>
      </c>
      <c r="C10" s="5">
        <f>COUNTIF(TASKS!F:F,"ASSIGNED")+COUNTIF(TASKS!F:F,"IN_PROGRESS")</f>
        <v/>
      </c>
    </row>
    <row r="11">
      <c r="B11" s="3" t="inlineStr">
        <is>
          <t>Kill Switch</t>
        </is>
      </c>
      <c r="C11" t="inlineStr">
        <is>
          <t>OFF (check data/KILL file)</t>
        </is>
      </c>
    </row>
    <row r="14">
      <c r="B14" s="2" t="inlineStr">
        <is>
          <t>WEEKLY P&amp;L (LAST 7 DAYS)</t>
        </is>
      </c>
    </row>
    <row r="15">
      <c r="A15" s="6" t="n"/>
      <c r="B15" s="6" t="inlineStr">
        <is>
          <t>Seller</t>
        </is>
      </c>
      <c r="C15" s="6" t="inlineStr">
        <is>
          <t>Name</t>
        </is>
      </c>
      <c r="D15" s="6" t="inlineStr">
        <is>
          <t>Rate %</t>
        </is>
      </c>
      <c r="E15" s="6" t="inlineStr">
        <is>
          <t>Net GMV (₹)</t>
        </is>
      </c>
      <c r="F15" s="6" t="inlineStr">
        <is>
          <t>Aapka (₹)</t>
        </is>
      </c>
      <c r="G15" s="6" t="inlineStr">
        <is>
          <t>Trend</t>
        </is>
      </c>
    </row>
    <row r="16">
      <c r="B16" t="inlineStr">
        <is>
          <t>S01</t>
        </is>
      </c>
      <c r="C16" t="inlineStr">
        <is>
          <t>Aman Electronics</t>
        </is>
      </c>
      <c r="D16" t="n">
        <v>5</v>
      </c>
      <c r="E16" s="4">
        <f>SUMIF(DAILY-LOG!B:B,B16,DAILY-LOG!G:G)</f>
        <v/>
      </c>
      <c r="F16" s="4">
        <f>SUMIF(DAILY-LOG!B:B,B16,DAILY-LOG!I:I)</f>
        <v/>
      </c>
      <c r="G16" t="inlineStr">
        <is>
          <t>—</t>
        </is>
      </c>
    </row>
    <row r="17">
      <c r="B17" t="inlineStr">
        <is>
          <t>S02</t>
        </is>
      </c>
      <c r="C17" t="inlineStr">
        <is>
          <t>Priya Fashion</t>
        </is>
      </c>
      <c r="D17" t="n">
        <v>4</v>
      </c>
      <c r="E17" s="4">
        <f>SUMIF(DAILY-LOG!B:B,B17,DAILY-LOG!G:G)</f>
        <v/>
      </c>
      <c r="F17" s="4">
        <f>SUMIF(DAILY-LOG!B:B,B17,DAILY-LOG!I:I)</f>
        <v/>
      </c>
      <c r="G17" t="inlineStr">
        <is>
          <t>—</t>
        </is>
      </c>
    </row>
    <row r="18">
      <c r="B18" t="inlineStr">
        <is>
          <t>S03</t>
        </is>
      </c>
      <c r="C18" t="inlineStr">
        <is>
          <t>HomeWorld Decor</t>
        </is>
      </c>
      <c r="D18" t="n">
        <v>3</v>
      </c>
      <c r="E18" s="4">
        <f>SUMIF(DAILY-LOG!B:B,B18,DAILY-LOG!G:G)</f>
        <v/>
      </c>
      <c r="F18" s="4">
        <f>SUMIF(DAILY-LOG!B:B,B18,DAILY-LOG!I:I)</f>
        <v/>
      </c>
      <c r="G18" t="inlineStr">
        <is>
          <t>—</t>
        </is>
      </c>
    </row>
    <row r="19">
      <c r="B19" t="inlineStr">
        <is>
          <t>S04</t>
        </is>
      </c>
      <c r="C19" t="inlineStr">
        <is>
          <t>GadgetZone</t>
        </is>
      </c>
      <c r="D19" t="n">
        <v>4</v>
      </c>
      <c r="E19" s="4">
        <f>SUMIF(DAILY-LOG!B:B,B19,DAILY-LOG!G:G)</f>
        <v/>
      </c>
      <c r="F19" s="4">
        <f>SUMIF(DAILY-LOG!B:B,B19,DAILY-LOG!I:I)</f>
        <v/>
      </c>
      <c r="G19" t="inlineStr">
        <is>
          <t>—</t>
        </is>
      </c>
    </row>
    <row r="20">
      <c r="B20" t="inlineStr">
        <is>
          <t>S05</t>
        </is>
      </c>
      <c r="C20" t="inlineStr">
        <is>
          <t>StyleCraft</t>
        </is>
      </c>
      <c r="D20" t="n">
        <v>5</v>
      </c>
      <c r="E20" s="4">
        <f>SUMIF(DAILY-LOG!B:B,B20,DAILY-LOG!G:G)</f>
        <v/>
      </c>
      <c r="F20" s="4">
        <f>SUMIF(DAILY-LOG!B:B,B20,DAILY-LOG!I:I)</f>
        <v/>
      </c>
      <c r="G20" t="inlineStr">
        <is>
          <t>—</t>
        </is>
      </c>
    </row>
    <row r="21">
      <c r="B21" t="inlineStr">
        <is>
          <t>S06</t>
        </is>
      </c>
      <c r="C21" t="inlineStr">
        <is>
          <t>Beverage Co</t>
        </is>
      </c>
      <c r="D21" t="n">
        <v>3</v>
      </c>
      <c r="E21" s="4">
        <f>SUMIF(DAILY-LOG!B:B,B21,DAILY-LOG!G:G)</f>
        <v/>
      </c>
      <c r="F21" s="4">
        <f>SUMIF(DAILY-LOG!B:B,B21,DAILY-LOG!I:I)</f>
        <v/>
      </c>
      <c r="G21" t="inlineStr">
        <is>
          <t>—</t>
        </is>
      </c>
    </row>
    <row r="22">
      <c r="B22" t="inlineStr">
        <is>
          <t>S07</t>
        </is>
      </c>
      <c r="C22" t="inlineStr">
        <is>
          <t>ToyBox Kids</t>
        </is>
      </c>
      <c r="D22" t="n">
        <v>4</v>
      </c>
      <c r="E22" s="4">
        <f>SUMIF(DAILY-LOG!B:B,B22,DAILY-LOG!G:G)</f>
        <v/>
      </c>
      <c r="F22" s="4">
        <f>SUMIF(DAILY-LOG!B:B,B22,DAILY-LOG!I:I)</f>
        <v/>
      </c>
      <c r="G22" t="inlineStr">
        <is>
          <t>—</t>
        </is>
      </c>
    </row>
    <row r="23">
      <c r="B23" t="inlineStr">
        <is>
          <t>S08</t>
        </is>
      </c>
      <c r="C23" t="inlineStr">
        <is>
          <t>MediCare Plus</t>
        </is>
      </c>
      <c r="D23" t="n">
        <v>4</v>
      </c>
      <c r="E23" s="4">
        <f>SUMIF(DAILY-LOG!B:B,B23,DAILY-LOG!G:G)</f>
        <v/>
      </c>
      <c r="F23" s="4">
        <f>SUMIF(DAILY-LOG!B:B,B23,DAILY-LOG!I:I)</f>
        <v/>
      </c>
      <c r="G23" t="inlineStr">
        <is>
          <t>—</t>
        </is>
      </c>
    </row>
    <row r="24">
      <c r="B24" t="inlineStr">
        <is>
          <t>S09</t>
        </is>
      </c>
      <c r="C24" t="inlineStr">
        <is>
          <t>PetPal India</t>
        </is>
      </c>
      <c r="D24" t="n">
        <v>5</v>
      </c>
      <c r="E24" s="4">
        <f>SUMIF(DAILY-LOG!B:B,B24,DAILY-LOG!G:G)</f>
        <v/>
      </c>
      <c r="F24" s="4">
        <f>SUMIF(DAILY-LOG!B:B,B24,DAILY-LOG!I:I)</f>
        <v/>
      </c>
      <c r="G24" t="inlineStr">
        <is>
          <t>—</t>
        </is>
      </c>
    </row>
    <row r="25">
      <c r="B25" t="inlineStr">
        <is>
          <t>S10</t>
        </is>
      </c>
      <c r="C25" t="inlineStr">
        <is>
          <t>BookNook</t>
        </is>
      </c>
      <c r="D25" t="n">
        <v>3</v>
      </c>
      <c r="E25" s="4">
        <f>SUMIF(DAILY-LOG!B:B,B25,DAILY-LOG!G:G)</f>
        <v/>
      </c>
      <c r="F25" s="4">
        <f>SUMIF(DAILY-LOG!B:B,B25,DAILY-LOG!I:I)</f>
        <v/>
      </c>
      <c r="G2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9" customWidth="1" min="4" max="4"/>
    <col width="13" customWidth="1" min="5" max="5"/>
    <col width="16" customWidth="1" min="6" max="6"/>
    <col width="14" customWidth="1" min="7" max="7"/>
    <col width="18" customWidth="1" min="8" max="8"/>
    <col width="14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Category</t>
        </is>
      </c>
      <c r="D1" s="6" t="inlineStr">
        <is>
          <t>Rate %</t>
        </is>
      </c>
      <c r="E1" s="6" t="inlineStr">
        <is>
          <t>Rate Status</t>
        </is>
      </c>
      <c r="F1" s="6" t="inlineStr">
        <is>
          <t>GMV Target (₹/mo)</t>
        </is>
      </c>
      <c r="G1" s="6" t="inlineStr">
        <is>
          <t>Ad Cap (₹/day)</t>
        </is>
      </c>
      <c r="H1" s="6" t="inlineStr">
        <is>
          <t>Contact</t>
        </is>
      </c>
      <c r="I1" s="6" t="inlineStr">
        <is>
          <t>Onboarded</t>
        </is>
      </c>
      <c r="J1" s="6" t="inlineStr">
        <is>
          <t>Status</t>
        </is>
      </c>
    </row>
    <row r="2">
      <c r="A2" t="inlineStr">
        <is>
          <t>S01</t>
        </is>
      </c>
      <c r="B2" t="inlineStr">
        <is>
          <t>Aman Electronics</t>
        </is>
      </c>
      <c r="C2" t="inlineStr">
        <is>
          <t>Electronics</t>
        </is>
      </c>
      <c r="D2" s="5" t="n">
        <v>5</v>
      </c>
      <c r="E2" t="inlineStr">
        <is>
          <t>CONFIRMED</t>
        </is>
      </c>
      <c r="F2" s="4" t="n">
        <v>200000</v>
      </c>
      <c r="G2" s="4" t="n">
        <v>800</v>
      </c>
      <c r="H2" t="inlineStr"/>
      <c r="I2" t="inlineStr">
        <is>
          <t>2026-09-08</t>
        </is>
      </c>
      <c r="J2" t="inlineStr">
        <is>
          <t>LIVE</t>
        </is>
      </c>
    </row>
    <row r="3">
      <c r="A3" t="inlineStr">
        <is>
          <t>S02</t>
        </is>
      </c>
      <c r="B3" t="inlineStr">
        <is>
          <t>Priya Fashion</t>
        </is>
      </c>
      <c r="C3" t="inlineStr">
        <is>
          <t>Fashion</t>
        </is>
      </c>
      <c r="D3" s="5" t="n">
        <v>4</v>
      </c>
      <c r="E3" t="inlineStr">
        <is>
          <t>TENTATIVE</t>
        </is>
      </c>
      <c r="F3" s="4" t="n">
        <v>150000</v>
      </c>
      <c r="G3" s="4" t="n">
        <v>500</v>
      </c>
      <c r="H3" t="inlineStr"/>
      <c r="I3" t="inlineStr">
        <is>
          <t>2026-09-08</t>
        </is>
      </c>
      <c r="J3" t="inlineStr">
        <is>
          <t>LIVE</t>
        </is>
      </c>
    </row>
    <row r="4">
      <c r="A4" t="inlineStr">
        <is>
          <t>S03</t>
        </is>
      </c>
      <c r="B4" t="inlineStr">
        <is>
          <t>HomeWorld Decor</t>
        </is>
      </c>
      <c r="C4" t="inlineStr">
        <is>
          <t>Home</t>
        </is>
      </c>
      <c r="D4" s="5" t="n">
        <v>3</v>
      </c>
      <c r="E4" t="inlineStr">
        <is>
          <t>CONFIRMED</t>
        </is>
      </c>
      <c r="F4" s="4" t="n">
        <v>100000</v>
      </c>
      <c r="G4" s="4" t="n">
        <v>300</v>
      </c>
      <c r="H4" t="inlineStr"/>
      <c r="I4" t="inlineStr">
        <is>
          <t>2026-09-08</t>
        </is>
      </c>
      <c r="J4" t="inlineStr">
        <is>
          <t>LIVE</t>
        </is>
      </c>
    </row>
    <row r="5">
      <c r="A5" t="inlineStr">
        <is>
          <t>S04</t>
        </is>
      </c>
      <c r="B5" t="inlineStr">
        <is>
          <t>GadgetZone</t>
        </is>
      </c>
      <c r="C5" t="inlineStr">
        <is>
          <t>Electronics</t>
        </is>
      </c>
      <c r="D5" s="5" t="n">
        <v>4</v>
      </c>
      <c r="E5" t="inlineStr">
        <is>
          <t>CONFIRMED</t>
        </is>
      </c>
      <c r="F5" s="4" t="n">
        <v>180000</v>
      </c>
      <c r="G5" s="4" t="n">
        <v>600</v>
      </c>
      <c r="H5" t="inlineStr"/>
      <c r="I5" t="inlineStr">
        <is>
          <t>2026-09-08</t>
        </is>
      </c>
      <c r="J5" t="inlineStr">
        <is>
          <t>LIVE</t>
        </is>
      </c>
    </row>
    <row r="6">
      <c r="A6" t="inlineStr">
        <is>
          <t>S05</t>
        </is>
      </c>
      <c r="B6" t="inlineStr">
        <is>
          <t>StyleCraft</t>
        </is>
      </c>
      <c r="C6" t="inlineStr">
        <is>
          <t>Fashion</t>
        </is>
      </c>
      <c r="D6" s="5" t="n">
        <v>5</v>
      </c>
      <c r="E6" t="inlineStr">
        <is>
          <t>CONFIRMED</t>
        </is>
      </c>
      <c r="F6" s="4" t="n">
        <v>90000</v>
      </c>
      <c r="G6" s="4" t="n">
        <v>400</v>
      </c>
      <c r="H6" t="inlineStr"/>
      <c r="I6" t="inlineStr">
        <is>
          <t>2026-09-08</t>
        </is>
      </c>
      <c r="J6" t="inlineStr">
        <is>
          <t>LIVE</t>
        </is>
      </c>
    </row>
    <row r="7">
      <c r="A7" t="inlineStr">
        <is>
          <t>S06</t>
        </is>
      </c>
      <c r="B7" t="inlineStr">
        <is>
          <t>Beverage Co</t>
        </is>
      </c>
      <c r="C7" t="inlineStr">
        <is>
          <t>Grocery</t>
        </is>
      </c>
      <c r="D7" s="5" t="n">
        <v>3</v>
      </c>
      <c r="E7" t="inlineStr">
        <is>
          <t>CONFIRMED</t>
        </is>
      </c>
      <c r="F7" s="4" t="n">
        <v>120000</v>
      </c>
      <c r="G7" s="4" t="n">
        <v>200</v>
      </c>
      <c r="H7" t="inlineStr"/>
      <c r="I7" t="inlineStr">
        <is>
          <t>2026-09-08</t>
        </is>
      </c>
      <c r="J7" t="inlineStr">
        <is>
          <t>LIVE</t>
        </is>
      </c>
    </row>
    <row r="8">
      <c r="A8" t="inlineStr">
        <is>
          <t>S07</t>
        </is>
      </c>
      <c r="B8" t="inlineStr">
        <is>
          <t>ToyBox Kids</t>
        </is>
      </c>
      <c r="C8" t="inlineStr">
        <is>
          <t>Toys</t>
        </is>
      </c>
      <c r="D8" s="5" t="n">
        <v>4</v>
      </c>
      <c r="E8" t="inlineStr">
        <is>
          <t>CONFIRMED</t>
        </is>
      </c>
      <c r="F8" s="4" t="n">
        <v>80000</v>
      </c>
      <c r="G8" s="4" t="n">
        <v>250</v>
      </c>
      <c r="H8" t="inlineStr"/>
      <c r="I8" t="inlineStr">
        <is>
          <t>2026-09-08</t>
        </is>
      </c>
      <c r="J8" t="inlineStr">
        <is>
          <t>LIVE</t>
        </is>
      </c>
    </row>
    <row r="9">
      <c r="A9" t="inlineStr">
        <is>
          <t>S08</t>
        </is>
      </c>
      <c r="B9" t="inlineStr">
        <is>
          <t>MediCare Plus</t>
        </is>
      </c>
      <c r="C9" t="inlineStr">
        <is>
          <t>Health</t>
        </is>
      </c>
      <c r="D9" s="5" t="n">
        <v>4</v>
      </c>
      <c r="E9" t="inlineStr">
        <is>
          <t>TENTATIVE</t>
        </is>
      </c>
      <c r="F9" s="4" t="n">
        <v>110000</v>
      </c>
      <c r="G9" s="4" t="n">
        <v>350</v>
      </c>
      <c r="H9" t="inlineStr"/>
      <c r="I9" t="inlineStr">
        <is>
          <t>2026-09-08</t>
        </is>
      </c>
      <c r="J9" t="inlineStr">
        <is>
          <t>LIVE</t>
        </is>
      </c>
    </row>
    <row r="10">
      <c r="A10" t="inlineStr">
        <is>
          <t>S09</t>
        </is>
      </c>
      <c r="B10" t="inlineStr">
        <is>
          <t>PetPal India</t>
        </is>
      </c>
      <c r="C10" t="inlineStr">
        <is>
          <t>Pet Care</t>
        </is>
      </c>
      <c r="D10" s="5" t="n">
        <v>5</v>
      </c>
      <c r="E10" t="inlineStr">
        <is>
          <t>CONFIRMED</t>
        </is>
      </c>
      <c r="F10" s="4" t="n">
        <v>70000</v>
      </c>
      <c r="G10" s="4" t="n">
        <v>200</v>
      </c>
      <c r="H10" t="inlineStr"/>
      <c r="I10" t="inlineStr">
        <is>
          <t>2026-09-08</t>
        </is>
      </c>
      <c r="J10" t="inlineStr">
        <is>
          <t>LIVE</t>
        </is>
      </c>
    </row>
    <row r="11">
      <c r="A11" t="inlineStr">
        <is>
          <t>S10</t>
        </is>
      </c>
      <c r="B11" t="inlineStr">
        <is>
          <t>BookNook</t>
        </is>
      </c>
      <c r="C11" t="inlineStr">
        <is>
          <t>Books</t>
        </is>
      </c>
      <c r="D11" s="5" t="n">
        <v>3</v>
      </c>
      <c r="E11" t="inlineStr">
        <is>
          <t>CONFIRMED</t>
        </is>
      </c>
      <c r="F11" s="4" t="n">
        <v>60000</v>
      </c>
      <c r="G11" s="4" t="n">
        <v>150</v>
      </c>
      <c r="H11" t="inlineStr"/>
      <c r="I11" t="inlineStr">
        <is>
          <t>2026-09-08</t>
        </is>
      </c>
      <c r="J11" t="inlineStr">
        <is>
          <t>LIVE</t>
        </is>
      </c>
    </row>
  </sheetData>
  <conditionalFormatting sqref="E2:E11">
    <cfRule type="cellIs" priority="1" operator="equal" dxfId="0">
      <formula>"TENTATIVE"</formula>
    </cfRule>
    <cfRule type="cellIs" priority="2" operator="equal" dxfId="1">
      <formula>"CONFIRMED"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4" customWidth="1" min="4" max="4"/>
    <col width="18" customWidth="1" min="5" max="5"/>
    <col width="8" customWidth="1" min="6" max="6"/>
    <col width="14" customWidth="1" min="7" max="7"/>
    <col width="9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Seller</t>
        </is>
      </c>
      <c r="C1" s="6" t="inlineStr">
        <is>
          <t>Gross (₹)</t>
        </is>
      </c>
      <c r="D1" s="6" t="inlineStr">
        <is>
          <t>Cancelled (₹)</t>
        </is>
      </c>
      <c r="E1" s="6" t="inlineStr">
        <is>
          <t>Returns Resolved (₹)</t>
        </is>
      </c>
      <c r="F1" s="6" t="inlineStr">
        <is>
          <t>Units</t>
        </is>
      </c>
      <c r="G1" s="6" t="inlineStr">
        <is>
          <t>Net GMV (₹)</t>
        </is>
      </c>
      <c r="H1" s="6" t="inlineStr">
        <is>
          <t>Rate %</t>
        </is>
      </c>
      <c r="I1" s="6" t="inlineStr">
        <is>
          <t>Aapka Cut (₹)</t>
        </is>
      </c>
    </row>
    <row r="2">
      <c r="A2" t="inlineStr">
        <is>
          <t>2026-08-31</t>
        </is>
      </c>
      <c r="B2" t="inlineStr">
        <is>
          <t>S01</t>
        </is>
      </c>
      <c r="C2" s="4" t="n">
        <v>14840</v>
      </c>
      <c r="D2" s="4" t="n">
        <v>445</v>
      </c>
      <c r="E2" s="4" t="n">
        <v>148</v>
      </c>
      <c r="F2" t="n">
        <v>18</v>
      </c>
      <c r="G2" s="4">
        <f>C2-D2-E2</f>
        <v/>
      </c>
      <c r="H2" s="5">
        <f>IFERROR(VLOOKUP(B2,SELLERS!A:D,4,FALSE),4)</f>
        <v/>
      </c>
      <c r="I2" s="4">
        <f>G2*H2/100</f>
        <v/>
      </c>
    </row>
    <row r="3">
      <c r="A3" t="inlineStr">
        <is>
          <t>2026-08-31</t>
        </is>
      </c>
      <c r="B3" t="inlineStr">
        <is>
          <t>S02</t>
        </is>
      </c>
      <c r="C3" s="4" t="n">
        <v>10070</v>
      </c>
      <c r="D3" s="4" t="n">
        <v>302</v>
      </c>
      <c r="E3" s="4" t="n">
        <v>101</v>
      </c>
      <c r="F3" t="n">
        <v>12</v>
      </c>
      <c r="G3" s="4">
        <f>C3-D3-E3</f>
        <v/>
      </c>
      <c r="H3" s="5">
        <f>IFERROR(VLOOKUP(B3,SELLERS!A:D,4,FALSE),4)</f>
        <v/>
      </c>
      <c r="I3" s="4">
        <f>G3*H3/100</f>
        <v/>
      </c>
    </row>
    <row r="4">
      <c r="A4" t="inlineStr">
        <is>
          <t>2026-08-31</t>
        </is>
      </c>
      <c r="B4" t="inlineStr">
        <is>
          <t>S03</t>
        </is>
      </c>
      <c r="C4" s="4" t="n">
        <v>6572</v>
      </c>
      <c r="D4" s="4" t="n">
        <v>197</v>
      </c>
      <c r="E4" s="4" t="n">
        <v>66</v>
      </c>
      <c r="F4" t="n">
        <v>8</v>
      </c>
      <c r="G4" s="4">
        <f>C4-D4-E4</f>
        <v/>
      </c>
      <c r="H4" s="5">
        <f>IFERROR(VLOOKUP(B4,SELLERS!A:D,4,FALSE),4)</f>
        <v/>
      </c>
      <c r="I4" s="4">
        <f>G4*H4/100</f>
        <v/>
      </c>
    </row>
    <row r="5">
      <c r="A5" t="inlineStr">
        <is>
          <t>2026-08-31</t>
        </is>
      </c>
      <c r="B5" t="inlineStr">
        <is>
          <t>S04</t>
        </is>
      </c>
      <c r="C5" s="4" t="n">
        <v>12190</v>
      </c>
      <c r="D5" s="4" t="n">
        <v>366</v>
      </c>
      <c r="E5" s="4" t="n">
        <v>122</v>
      </c>
      <c r="F5" t="n">
        <v>15</v>
      </c>
      <c r="G5" s="4">
        <f>C5-D5-E5</f>
        <v/>
      </c>
      <c r="H5" s="5">
        <f>IFERROR(VLOOKUP(B5,SELLERS!A:D,4,FALSE),4)</f>
        <v/>
      </c>
      <c r="I5" s="4">
        <f>G5*H5/100</f>
        <v/>
      </c>
    </row>
    <row r="6">
      <c r="A6" t="inlineStr">
        <is>
          <t>2026-08-31</t>
        </is>
      </c>
      <c r="B6" t="inlineStr">
        <is>
          <t>S05</t>
        </is>
      </c>
      <c r="C6" s="4" t="n">
        <v>5088</v>
      </c>
      <c r="D6" s="4" t="n">
        <v>153</v>
      </c>
      <c r="E6" s="4" t="n">
        <v>51</v>
      </c>
      <c r="F6" t="n">
        <v>6</v>
      </c>
      <c r="G6" s="4">
        <f>C6-D6-E6</f>
        <v/>
      </c>
      <c r="H6" s="5">
        <f>IFERROR(VLOOKUP(B6,SELLERS!A:D,4,FALSE),4)</f>
        <v/>
      </c>
      <c r="I6" s="4">
        <f>G6*H6/100</f>
        <v/>
      </c>
    </row>
    <row r="7">
      <c r="A7" t="inlineStr">
        <is>
          <t>2026-08-31</t>
        </is>
      </c>
      <c r="B7" t="inlineStr">
        <is>
          <t>S06</t>
        </is>
      </c>
      <c r="C7" s="4" t="n">
        <v>8268</v>
      </c>
      <c r="D7" s="4" t="n">
        <v>248</v>
      </c>
      <c r="E7" s="4" t="n">
        <v>83</v>
      </c>
      <c r="F7" t="n">
        <v>10</v>
      </c>
      <c r="G7" s="4">
        <f>C7-D7-E7</f>
        <v/>
      </c>
      <c r="H7" s="5">
        <f>IFERROR(VLOOKUP(B7,SELLERS!A:D,4,FALSE),4)</f>
        <v/>
      </c>
      <c r="I7" s="4">
        <f>G7*H7/100</f>
        <v/>
      </c>
    </row>
    <row r="8">
      <c r="A8" t="inlineStr">
        <is>
          <t>2026-08-31</t>
        </is>
      </c>
      <c r="B8" t="inlineStr">
        <is>
          <t>S07</t>
        </is>
      </c>
      <c r="C8" s="4" t="n">
        <v>4346</v>
      </c>
      <c r="D8" s="4" t="n">
        <v>130</v>
      </c>
      <c r="E8" s="4" t="n">
        <v>43</v>
      </c>
      <c r="F8" t="n">
        <v>5</v>
      </c>
      <c r="G8" s="4">
        <f>C8-D8-E8</f>
        <v/>
      </c>
      <c r="H8" s="5">
        <f>IFERROR(VLOOKUP(B8,SELLERS!A:D,4,FALSE),4)</f>
        <v/>
      </c>
      <c r="I8" s="4">
        <f>G8*H8/100</f>
        <v/>
      </c>
    </row>
    <row r="9">
      <c r="A9" t="inlineStr">
        <is>
          <t>2026-08-31</t>
        </is>
      </c>
      <c r="B9" t="inlineStr">
        <is>
          <t>S08</t>
        </is>
      </c>
      <c r="C9" s="4" t="n">
        <v>7314</v>
      </c>
      <c r="D9" s="4" t="n">
        <v>219</v>
      </c>
      <c r="E9" s="4" t="n">
        <v>73</v>
      </c>
      <c r="F9" t="n">
        <v>9</v>
      </c>
      <c r="G9" s="4">
        <f>C9-D9-E9</f>
        <v/>
      </c>
      <c r="H9" s="5">
        <f>IFERROR(VLOOKUP(B9,SELLERS!A:D,4,FALSE),4)</f>
        <v/>
      </c>
      <c r="I9" s="4">
        <f>G9*H9/100</f>
        <v/>
      </c>
    </row>
    <row r="10">
      <c r="A10" t="inlineStr">
        <is>
          <t>2026-08-31</t>
        </is>
      </c>
      <c r="B10" t="inlineStr">
        <is>
          <t>S09</t>
        </is>
      </c>
      <c r="C10" s="4" t="n">
        <v>3816</v>
      </c>
      <c r="D10" s="4" t="n">
        <v>114</v>
      </c>
      <c r="E10" s="4" t="n">
        <v>38</v>
      </c>
      <c r="F10" t="n">
        <v>4</v>
      </c>
      <c r="G10" s="4">
        <f>C10-D10-E10</f>
        <v/>
      </c>
      <c r="H10" s="5">
        <f>IFERROR(VLOOKUP(B10,SELLERS!A:D,4,FALSE),4)</f>
        <v/>
      </c>
      <c r="I10" s="4">
        <f>G10*H10/100</f>
        <v/>
      </c>
    </row>
    <row r="11">
      <c r="A11" t="inlineStr">
        <is>
          <t>2026-08-31</t>
        </is>
      </c>
      <c r="B11" t="inlineStr">
        <is>
          <t>S10</t>
        </is>
      </c>
      <c r="C11" s="4" t="n">
        <v>2726</v>
      </c>
      <c r="D11" s="4" t="n">
        <v>82</v>
      </c>
      <c r="E11" s="4" t="n">
        <v>27</v>
      </c>
      <c r="F11" t="n">
        <v>3</v>
      </c>
      <c r="G11" s="4">
        <f>C11-D11-E11</f>
        <v/>
      </c>
      <c r="H11" s="5">
        <f>IFERROR(VLOOKUP(B11,SELLERS!A:D,4,FALSE),4)</f>
        <v/>
      </c>
      <c r="I11" s="4">
        <f>G11*H11/100</f>
        <v/>
      </c>
    </row>
    <row r="12">
      <c r="A12" t="inlineStr">
        <is>
          <t>2026-09-01</t>
        </is>
      </c>
      <c r="B12" t="inlineStr">
        <is>
          <t>S01</t>
        </is>
      </c>
      <c r="C12" s="4" t="n">
        <v>14000</v>
      </c>
      <c r="D12" s="4" t="n">
        <v>420</v>
      </c>
      <c r="E12" s="4" t="n">
        <v>140</v>
      </c>
      <c r="F12" t="n">
        <v>17</v>
      </c>
      <c r="G12" s="4">
        <f>C12-D12-E12</f>
        <v/>
      </c>
      <c r="H12" s="5">
        <f>IFERROR(VLOOKUP(B12,SELLERS!A:D,4,FALSE),4)</f>
        <v/>
      </c>
      <c r="I12" s="4">
        <f>G12*H12/100</f>
        <v/>
      </c>
    </row>
    <row r="13">
      <c r="A13" t="inlineStr">
        <is>
          <t>2026-09-01</t>
        </is>
      </c>
      <c r="B13" t="inlineStr">
        <is>
          <t>S02</t>
        </is>
      </c>
      <c r="C13" s="4" t="n">
        <v>9500</v>
      </c>
      <c r="D13" s="4" t="n">
        <v>285</v>
      </c>
      <c r="E13" s="4" t="n">
        <v>95</v>
      </c>
      <c r="F13" t="n">
        <v>11</v>
      </c>
      <c r="G13" s="4">
        <f>C13-D13-E13</f>
        <v/>
      </c>
      <c r="H13" s="5">
        <f>IFERROR(VLOOKUP(B13,SELLERS!A:D,4,FALSE),4)</f>
        <v/>
      </c>
      <c r="I13" s="4">
        <f>G13*H13/100</f>
        <v/>
      </c>
    </row>
    <row r="14">
      <c r="A14" t="inlineStr">
        <is>
          <t>2026-09-01</t>
        </is>
      </c>
      <c r="B14" t="inlineStr">
        <is>
          <t>S03</t>
        </is>
      </c>
      <c r="C14" s="4" t="n">
        <v>6200</v>
      </c>
      <c r="D14" s="4" t="n">
        <v>186</v>
      </c>
      <c r="E14" s="4" t="n">
        <v>62</v>
      </c>
      <c r="F14" t="n">
        <v>7</v>
      </c>
      <c r="G14" s="4">
        <f>C14-D14-E14</f>
        <v/>
      </c>
      <c r="H14" s="5">
        <f>IFERROR(VLOOKUP(B14,SELLERS!A:D,4,FALSE),4)</f>
        <v/>
      </c>
      <c r="I14" s="4">
        <f>G14*H14/100</f>
        <v/>
      </c>
    </row>
    <row r="15">
      <c r="A15" t="inlineStr">
        <is>
          <t>2026-09-01</t>
        </is>
      </c>
      <c r="B15" t="inlineStr">
        <is>
          <t>S04</t>
        </is>
      </c>
      <c r="C15" s="4" t="n">
        <v>11500</v>
      </c>
      <c r="D15" s="4" t="n">
        <v>345</v>
      </c>
      <c r="E15" s="4" t="n">
        <v>115</v>
      </c>
      <c r="F15" t="n">
        <v>14</v>
      </c>
      <c r="G15" s="4">
        <f>C15-D15-E15</f>
        <v/>
      </c>
      <c r="H15" s="5">
        <f>IFERROR(VLOOKUP(B15,SELLERS!A:D,4,FALSE),4)</f>
        <v/>
      </c>
      <c r="I15" s="4">
        <f>G15*H15/100</f>
        <v/>
      </c>
    </row>
    <row r="16">
      <c r="A16" t="inlineStr">
        <is>
          <t>2026-09-01</t>
        </is>
      </c>
      <c r="B16" t="inlineStr">
        <is>
          <t>S05</t>
        </is>
      </c>
      <c r="C16" s="4" t="n">
        <v>4800</v>
      </c>
      <c r="D16" s="4" t="n">
        <v>144</v>
      </c>
      <c r="E16" s="4" t="n">
        <v>48</v>
      </c>
      <c r="F16" t="n">
        <v>6</v>
      </c>
      <c r="G16" s="4">
        <f>C16-D16-E16</f>
        <v/>
      </c>
      <c r="H16" s="5">
        <f>IFERROR(VLOOKUP(B16,SELLERS!A:D,4,FALSE),4)</f>
        <v/>
      </c>
      <c r="I16" s="4">
        <f>G16*H16/100</f>
        <v/>
      </c>
    </row>
    <row r="17">
      <c r="A17" t="inlineStr">
        <is>
          <t>2026-09-01</t>
        </is>
      </c>
      <c r="B17" t="inlineStr">
        <is>
          <t>S06</t>
        </is>
      </c>
      <c r="C17" s="4" t="n">
        <v>7800</v>
      </c>
      <c r="D17" s="4" t="n">
        <v>234</v>
      </c>
      <c r="E17" s="4" t="n">
        <v>78</v>
      </c>
      <c r="F17" t="n">
        <v>9</v>
      </c>
      <c r="G17" s="4">
        <f>C17-D17-E17</f>
        <v/>
      </c>
      <c r="H17" s="5">
        <f>IFERROR(VLOOKUP(B17,SELLERS!A:D,4,FALSE),4)</f>
        <v/>
      </c>
      <c r="I17" s="4">
        <f>G17*H17/100</f>
        <v/>
      </c>
    </row>
    <row r="18">
      <c r="A18" t="inlineStr">
        <is>
          <t>2026-09-01</t>
        </is>
      </c>
      <c r="B18" t="inlineStr">
        <is>
          <t>S07</t>
        </is>
      </c>
      <c r="C18" s="4" t="n">
        <v>4100</v>
      </c>
      <c r="D18" s="4" t="n">
        <v>123</v>
      </c>
      <c r="E18" s="4" t="n">
        <v>41</v>
      </c>
      <c r="F18" t="n">
        <v>5</v>
      </c>
      <c r="G18" s="4">
        <f>C18-D18-E18</f>
        <v/>
      </c>
      <c r="H18" s="5">
        <f>IFERROR(VLOOKUP(B18,SELLERS!A:D,4,FALSE),4)</f>
        <v/>
      </c>
      <c r="I18" s="4">
        <f>G18*H18/100</f>
        <v/>
      </c>
    </row>
    <row r="19">
      <c r="A19" t="inlineStr">
        <is>
          <t>2026-09-01</t>
        </is>
      </c>
      <c r="B19" t="inlineStr">
        <is>
          <t>S08</t>
        </is>
      </c>
      <c r="C19" s="4" t="n">
        <v>6900</v>
      </c>
      <c r="D19" s="4" t="n">
        <v>207</v>
      </c>
      <c r="E19" s="4" t="n">
        <v>69</v>
      </c>
      <c r="F19" t="n">
        <v>8</v>
      </c>
      <c r="G19" s="4">
        <f>C19-D19-E19</f>
        <v/>
      </c>
      <c r="H19" s="5">
        <f>IFERROR(VLOOKUP(B19,SELLERS!A:D,4,FALSE),4)</f>
        <v/>
      </c>
      <c r="I19" s="4">
        <f>G19*H19/100</f>
        <v/>
      </c>
    </row>
    <row r="20">
      <c r="A20" t="inlineStr">
        <is>
          <t>2026-09-01</t>
        </is>
      </c>
      <c r="B20" t="inlineStr">
        <is>
          <t>S09</t>
        </is>
      </c>
      <c r="C20" s="4" t="n">
        <v>3600</v>
      </c>
      <c r="D20" s="4" t="n">
        <v>108</v>
      </c>
      <c r="E20" s="4" t="n">
        <v>36</v>
      </c>
      <c r="F20" t="n">
        <v>4</v>
      </c>
      <c r="G20" s="4">
        <f>C20-D20-E20</f>
        <v/>
      </c>
      <c r="H20" s="5">
        <f>IFERROR(VLOOKUP(B20,SELLERS!A:D,4,FALSE),4)</f>
        <v/>
      </c>
      <c r="I20" s="4">
        <f>G20*H20/100</f>
        <v/>
      </c>
    </row>
    <row r="21">
      <c r="A21" t="inlineStr">
        <is>
          <t>2026-09-01</t>
        </is>
      </c>
      <c r="B21" t="inlineStr">
        <is>
          <t>S10</t>
        </is>
      </c>
      <c r="C21" s="4" t="n">
        <v>2987</v>
      </c>
      <c r="D21" s="4" t="n">
        <v>90</v>
      </c>
      <c r="E21" s="4" t="n">
        <v>30</v>
      </c>
      <c r="F21" t="n">
        <v>3</v>
      </c>
      <c r="G21" s="4">
        <f>C21-D21-E21</f>
        <v/>
      </c>
      <c r="H21" s="5">
        <f>IFERROR(VLOOKUP(B21,SELLERS!A:D,4,FALSE),4)</f>
        <v/>
      </c>
      <c r="I21" s="4">
        <f>G21*H21/100</f>
        <v/>
      </c>
    </row>
    <row r="22">
      <c r="A22" t="inlineStr">
        <is>
          <t>2026-09-02</t>
        </is>
      </c>
      <c r="B22" t="inlineStr">
        <is>
          <t>S01</t>
        </is>
      </c>
      <c r="C22" s="4" t="n">
        <v>13160</v>
      </c>
      <c r="D22" s="4" t="n">
        <v>395</v>
      </c>
      <c r="E22" s="4" t="n">
        <v>132</v>
      </c>
      <c r="F22" t="n">
        <v>16</v>
      </c>
      <c r="G22" s="4">
        <f>C22-D22-E22</f>
        <v/>
      </c>
      <c r="H22" s="5">
        <f>IFERROR(VLOOKUP(B22,SELLERS!A:D,4,FALSE),4)</f>
        <v/>
      </c>
      <c r="I22" s="4">
        <f>G22*H22/100</f>
        <v/>
      </c>
    </row>
    <row r="23">
      <c r="A23" t="inlineStr">
        <is>
          <t>2026-09-02</t>
        </is>
      </c>
      <c r="B23" t="inlineStr">
        <is>
          <t>S02</t>
        </is>
      </c>
      <c r="C23" s="4" t="n">
        <v>8930</v>
      </c>
      <c r="D23" s="4" t="n">
        <v>268</v>
      </c>
      <c r="E23" s="4" t="n">
        <v>89</v>
      </c>
      <c r="F23" t="n">
        <v>11</v>
      </c>
      <c r="G23" s="4">
        <f>C23-D23-E23</f>
        <v/>
      </c>
      <c r="H23" s="5">
        <f>IFERROR(VLOOKUP(B23,SELLERS!A:D,4,FALSE),4)</f>
        <v/>
      </c>
      <c r="I23" s="4">
        <f>G23*H23/100</f>
        <v/>
      </c>
    </row>
    <row r="24">
      <c r="A24" t="inlineStr">
        <is>
          <t>2026-09-02</t>
        </is>
      </c>
      <c r="B24" t="inlineStr">
        <is>
          <t>S03</t>
        </is>
      </c>
      <c r="C24" s="4" t="n">
        <v>5828</v>
      </c>
      <c r="D24" s="4" t="n">
        <v>175</v>
      </c>
      <c r="E24" s="4" t="n">
        <v>58</v>
      </c>
      <c r="F24" t="n">
        <v>7</v>
      </c>
      <c r="G24" s="4">
        <f>C24-D24-E24</f>
        <v/>
      </c>
      <c r="H24" s="5">
        <f>IFERROR(VLOOKUP(B24,SELLERS!A:D,4,FALSE),4)</f>
        <v/>
      </c>
      <c r="I24" s="4">
        <f>G24*H24/100</f>
        <v/>
      </c>
    </row>
    <row r="25">
      <c r="A25" t="inlineStr">
        <is>
          <t>2026-09-02</t>
        </is>
      </c>
      <c r="B25" t="inlineStr">
        <is>
          <t>S04</t>
        </is>
      </c>
      <c r="C25" s="4" t="n">
        <v>10810</v>
      </c>
      <c r="D25" s="4" t="n">
        <v>324</v>
      </c>
      <c r="E25" s="4" t="n">
        <v>108</v>
      </c>
      <c r="F25" t="n">
        <v>13</v>
      </c>
      <c r="G25" s="4">
        <f>C25-D25-E25</f>
        <v/>
      </c>
      <c r="H25" s="5">
        <f>IFERROR(VLOOKUP(B25,SELLERS!A:D,4,FALSE),4)</f>
        <v/>
      </c>
      <c r="I25" s="4">
        <f>G25*H25/100</f>
        <v/>
      </c>
    </row>
    <row r="26">
      <c r="A26" t="inlineStr">
        <is>
          <t>2026-09-02</t>
        </is>
      </c>
      <c r="B26" t="inlineStr">
        <is>
          <t>S05</t>
        </is>
      </c>
      <c r="C26" s="4" t="n">
        <v>4512</v>
      </c>
      <c r="D26" s="4" t="n">
        <v>135</v>
      </c>
      <c r="E26" s="4" t="n">
        <v>45</v>
      </c>
      <c r="F26" t="n">
        <v>5</v>
      </c>
      <c r="G26" s="4">
        <f>C26-D26-E26</f>
        <v/>
      </c>
      <c r="H26" s="5">
        <f>IFERROR(VLOOKUP(B26,SELLERS!A:D,4,FALSE),4)</f>
        <v/>
      </c>
      <c r="I26" s="4">
        <f>G26*H26/100</f>
        <v/>
      </c>
    </row>
    <row r="27">
      <c r="A27" t="inlineStr">
        <is>
          <t>2026-09-02</t>
        </is>
      </c>
      <c r="B27" t="inlineStr">
        <is>
          <t>S06</t>
        </is>
      </c>
      <c r="C27" s="4" t="n">
        <v>7332</v>
      </c>
      <c r="D27" s="4" t="n">
        <v>220</v>
      </c>
      <c r="E27" s="4" t="n">
        <v>73</v>
      </c>
      <c r="F27" t="n">
        <v>9</v>
      </c>
      <c r="G27" s="4">
        <f>C27-D27-E27</f>
        <v/>
      </c>
      <c r="H27" s="5">
        <f>IFERROR(VLOOKUP(B27,SELLERS!A:D,4,FALSE),4)</f>
        <v/>
      </c>
      <c r="I27" s="4">
        <f>G27*H27/100</f>
        <v/>
      </c>
    </row>
    <row r="28">
      <c r="A28" t="inlineStr">
        <is>
          <t>2026-09-02</t>
        </is>
      </c>
      <c r="B28" t="inlineStr">
        <is>
          <t>S07</t>
        </is>
      </c>
      <c r="C28" s="4" t="n">
        <v>3854</v>
      </c>
      <c r="D28" s="4" t="n">
        <v>116</v>
      </c>
      <c r="E28" s="4" t="n">
        <v>39</v>
      </c>
      <c r="F28" t="n">
        <v>4</v>
      </c>
      <c r="G28" s="4">
        <f>C28-D28-E28</f>
        <v/>
      </c>
      <c r="H28" s="5">
        <f>IFERROR(VLOOKUP(B28,SELLERS!A:D,4,FALSE),4)</f>
        <v/>
      </c>
      <c r="I28" s="4">
        <f>G28*H28/100</f>
        <v/>
      </c>
    </row>
    <row r="29">
      <c r="A29" t="inlineStr">
        <is>
          <t>2026-09-02</t>
        </is>
      </c>
      <c r="B29" t="inlineStr">
        <is>
          <t>S08</t>
        </is>
      </c>
      <c r="C29" s="4" t="n">
        <v>6486</v>
      </c>
      <c r="D29" s="4" t="n">
        <v>195</v>
      </c>
      <c r="E29" s="4" t="n">
        <v>65</v>
      </c>
      <c r="F29" t="n">
        <v>8</v>
      </c>
      <c r="G29" s="4">
        <f>C29-D29-E29</f>
        <v/>
      </c>
      <c r="H29" s="5">
        <f>IFERROR(VLOOKUP(B29,SELLERS!A:D,4,FALSE),4)</f>
        <v/>
      </c>
      <c r="I29" s="4">
        <f>G29*H29/100</f>
        <v/>
      </c>
    </row>
    <row r="30">
      <c r="A30" t="inlineStr">
        <is>
          <t>2026-09-02</t>
        </is>
      </c>
      <c r="B30" t="inlineStr">
        <is>
          <t>S09</t>
        </is>
      </c>
      <c r="C30" s="4" t="n">
        <v>3384</v>
      </c>
      <c r="D30" s="4" t="n">
        <v>102</v>
      </c>
      <c r="E30" s="4" t="n">
        <v>34</v>
      </c>
      <c r="F30" t="n">
        <v>4</v>
      </c>
      <c r="G30" s="4">
        <f>C30-D30-E30</f>
        <v/>
      </c>
      <c r="H30" s="5">
        <f>IFERROR(VLOOKUP(B30,SELLERS!A:D,4,FALSE),4)</f>
        <v/>
      </c>
      <c r="I30" s="4">
        <f>G30*H30/100</f>
        <v/>
      </c>
    </row>
    <row r="31">
      <c r="A31" t="inlineStr">
        <is>
          <t>2026-09-02</t>
        </is>
      </c>
      <c r="B31" t="inlineStr">
        <is>
          <t>S10</t>
        </is>
      </c>
      <c r="C31" s="4" t="n">
        <v>2813</v>
      </c>
      <c r="D31" s="4" t="n">
        <v>84</v>
      </c>
      <c r="E31" s="4" t="n">
        <v>28</v>
      </c>
      <c r="F31" t="n">
        <v>3</v>
      </c>
      <c r="G31" s="4">
        <f>C31-D31-E31</f>
        <v/>
      </c>
      <c r="H31" s="5">
        <f>IFERROR(VLOOKUP(B31,SELLERS!A:D,4,FALSE),4)</f>
        <v/>
      </c>
      <c r="I31" s="4">
        <f>G31*H31/100</f>
        <v/>
      </c>
    </row>
    <row r="32">
      <c r="A32" t="inlineStr">
        <is>
          <t>2026-09-03</t>
        </is>
      </c>
      <c r="B32" t="inlineStr">
        <is>
          <t>S01</t>
        </is>
      </c>
      <c r="C32" s="4" t="n">
        <v>14420</v>
      </c>
      <c r="D32" s="4" t="n">
        <v>433</v>
      </c>
      <c r="E32" s="4" t="n">
        <v>144</v>
      </c>
      <c r="F32" t="n">
        <v>18</v>
      </c>
      <c r="G32" s="4">
        <f>C32-D32-E32</f>
        <v/>
      </c>
      <c r="H32" s="5">
        <f>IFERROR(VLOOKUP(B32,SELLERS!A:D,4,FALSE),4)</f>
        <v/>
      </c>
      <c r="I32" s="4">
        <f>G32*H32/100</f>
        <v/>
      </c>
    </row>
    <row r="33">
      <c r="A33" t="inlineStr">
        <is>
          <t>2026-09-03</t>
        </is>
      </c>
      <c r="B33" t="inlineStr">
        <is>
          <t>S02</t>
        </is>
      </c>
      <c r="C33" s="4" t="n">
        <v>9785</v>
      </c>
      <c r="D33" s="4" t="n">
        <v>294</v>
      </c>
      <c r="E33" s="4" t="n">
        <v>98</v>
      </c>
      <c r="F33" t="n">
        <v>12</v>
      </c>
      <c r="G33" s="4">
        <f>C33-D33-E33</f>
        <v/>
      </c>
      <c r="H33" s="5">
        <f>IFERROR(VLOOKUP(B33,SELLERS!A:D,4,FALSE),4)</f>
        <v/>
      </c>
      <c r="I33" s="4">
        <f>G33*H33/100</f>
        <v/>
      </c>
    </row>
    <row r="34">
      <c r="A34" t="inlineStr">
        <is>
          <t>2026-09-03</t>
        </is>
      </c>
      <c r="B34" t="inlineStr">
        <is>
          <t>S03</t>
        </is>
      </c>
      <c r="C34" s="4" t="n">
        <v>6386</v>
      </c>
      <c r="D34" s="4" t="n">
        <v>192</v>
      </c>
      <c r="E34" s="4" t="n">
        <v>64</v>
      </c>
      <c r="F34" t="n">
        <v>7</v>
      </c>
      <c r="G34" s="4">
        <f>C34-D34-E34</f>
        <v/>
      </c>
      <c r="H34" s="5">
        <f>IFERROR(VLOOKUP(B34,SELLERS!A:D,4,FALSE),4)</f>
        <v/>
      </c>
      <c r="I34" s="4">
        <f>G34*H34/100</f>
        <v/>
      </c>
    </row>
    <row r="35">
      <c r="A35" t="inlineStr">
        <is>
          <t>2026-09-03</t>
        </is>
      </c>
      <c r="B35" t="inlineStr">
        <is>
          <t>S04</t>
        </is>
      </c>
      <c r="C35" s="4" t="n">
        <v>11845</v>
      </c>
      <c r="D35" s="4" t="n">
        <v>355</v>
      </c>
      <c r="E35" s="4" t="n">
        <v>118</v>
      </c>
      <c r="F35" t="n">
        <v>14</v>
      </c>
      <c r="G35" s="4">
        <f>C35-D35-E35</f>
        <v/>
      </c>
      <c r="H35" s="5">
        <f>IFERROR(VLOOKUP(B35,SELLERS!A:D,4,FALSE),4)</f>
        <v/>
      </c>
      <c r="I35" s="4">
        <f>G35*H35/100</f>
        <v/>
      </c>
    </row>
    <row r="36">
      <c r="A36" t="inlineStr">
        <is>
          <t>2026-09-03</t>
        </is>
      </c>
      <c r="B36" t="inlineStr">
        <is>
          <t>S05</t>
        </is>
      </c>
      <c r="C36" s="4" t="n">
        <v>4944</v>
      </c>
      <c r="D36" s="4" t="n">
        <v>148</v>
      </c>
      <c r="E36" s="4" t="n">
        <v>49</v>
      </c>
      <c r="F36" t="n">
        <v>6</v>
      </c>
      <c r="G36" s="4">
        <f>C36-D36-E36</f>
        <v/>
      </c>
      <c r="H36" s="5">
        <f>IFERROR(VLOOKUP(B36,SELLERS!A:D,4,FALSE),4)</f>
        <v/>
      </c>
      <c r="I36" s="4">
        <f>G36*H36/100</f>
        <v/>
      </c>
    </row>
    <row r="37">
      <c r="A37" t="inlineStr">
        <is>
          <t>2026-09-03</t>
        </is>
      </c>
      <c r="B37" t="inlineStr">
        <is>
          <t>S06</t>
        </is>
      </c>
      <c r="C37" s="4" t="n">
        <v>8034</v>
      </c>
      <c r="D37" s="4" t="n">
        <v>241</v>
      </c>
      <c r="E37" s="4" t="n">
        <v>80</v>
      </c>
      <c r="F37" t="n">
        <v>10</v>
      </c>
      <c r="G37" s="4">
        <f>C37-D37-E37</f>
        <v/>
      </c>
      <c r="H37" s="5">
        <f>IFERROR(VLOOKUP(B37,SELLERS!A:D,4,FALSE),4)</f>
        <v/>
      </c>
      <c r="I37" s="4">
        <f>G37*H37/100</f>
        <v/>
      </c>
    </row>
    <row r="38">
      <c r="A38" t="inlineStr">
        <is>
          <t>2026-09-03</t>
        </is>
      </c>
      <c r="B38" t="inlineStr">
        <is>
          <t>S07</t>
        </is>
      </c>
      <c r="C38" s="4" t="n">
        <v>4223</v>
      </c>
      <c r="D38" s="4" t="n">
        <v>127</v>
      </c>
      <c r="E38" s="4" t="n">
        <v>42</v>
      </c>
      <c r="F38" t="n">
        <v>5</v>
      </c>
      <c r="G38" s="4">
        <f>C38-D38-E38</f>
        <v/>
      </c>
      <c r="H38" s="5">
        <f>IFERROR(VLOOKUP(B38,SELLERS!A:D,4,FALSE),4)</f>
        <v/>
      </c>
      <c r="I38" s="4">
        <f>G38*H38/100</f>
        <v/>
      </c>
    </row>
    <row r="39">
      <c r="A39" t="inlineStr">
        <is>
          <t>2026-09-03</t>
        </is>
      </c>
      <c r="B39" t="inlineStr">
        <is>
          <t>S08</t>
        </is>
      </c>
      <c r="C39" s="4" t="n">
        <v>7107</v>
      </c>
      <c r="D39" s="4" t="n">
        <v>213</v>
      </c>
      <c r="E39" s="4" t="n">
        <v>71</v>
      </c>
      <c r="F39" t="n">
        <v>8</v>
      </c>
      <c r="G39" s="4">
        <f>C39-D39-E39</f>
        <v/>
      </c>
      <c r="H39" s="5">
        <f>IFERROR(VLOOKUP(B39,SELLERS!A:D,4,FALSE),4)</f>
        <v/>
      </c>
      <c r="I39" s="4">
        <f>G39*H39/100</f>
        <v/>
      </c>
    </row>
    <row r="40">
      <c r="A40" t="inlineStr">
        <is>
          <t>2026-09-03</t>
        </is>
      </c>
      <c r="B40" t="inlineStr">
        <is>
          <t>S09</t>
        </is>
      </c>
      <c r="C40" s="4" t="n">
        <v>3708</v>
      </c>
      <c r="D40" s="4" t="n">
        <v>111</v>
      </c>
      <c r="E40" s="4" t="n">
        <v>37</v>
      </c>
      <c r="F40" t="n">
        <v>4</v>
      </c>
      <c r="G40" s="4">
        <f>C40-D40-E40</f>
        <v/>
      </c>
      <c r="H40" s="5">
        <f>IFERROR(VLOOKUP(B40,SELLERS!A:D,4,FALSE),4)</f>
        <v/>
      </c>
      <c r="I40" s="4">
        <f>G40*H40/100</f>
        <v/>
      </c>
    </row>
    <row r="41">
      <c r="A41" t="inlineStr">
        <is>
          <t>2026-09-03</t>
        </is>
      </c>
      <c r="B41" t="inlineStr">
        <is>
          <t>S10</t>
        </is>
      </c>
      <c r="C41" s="4" t="n">
        <v>3074</v>
      </c>
      <c r="D41" s="4" t="n">
        <v>92</v>
      </c>
      <c r="E41" s="4" t="n">
        <v>31</v>
      </c>
      <c r="F41" t="n">
        <v>3</v>
      </c>
      <c r="G41" s="4">
        <f>C41-D41-E41</f>
        <v/>
      </c>
      <c r="H41" s="5">
        <f>IFERROR(VLOOKUP(B41,SELLERS!A:D,4,FALSE),4)</f>
        <v/>
      </c>
      <c r="I41" s="4">
        <f>G41*H41/100</f>
        <v/>
      </c>
    </row>
    <row r="42">
      <c r="A42" t="inlineStr">
        <is>
          <t>2026-09-04</t>
        </is>
      </c>
      <c r="B42" t="inlineStr">
        <is>
          <t>S01</t>
        </is>
      </c>
      <c r="C42" s="4" t="n">
        <v>13580</v>
      </c>
      <c r="D42" s="4" t="n">
        <v>407</v>
      </c>
      <c r="E42" s="4" t="n">
        <v>136</v>
      </c>
      <c r="F42" t="n">
        <v>16</v>
      </c>
      <c r="G42" s="4">
        <f>C42-D42-E42</f>
        <v/>
      </c>
      <c r="H42" s="5">
        <f>IFERROR(VLOOKUP(B42,SELLERS!A:D,4,FALSE),4)</f>
        <v/>
      </c>
      <c r="I42" s="4">
        <f>G42*H42/100</f>
        <v/>
      </c>
    </row>
    <row r="43">
      <c r="A43" t="inlineStr">
        <is>
          <t>2026-09-04</t>
        </is>
      </c>
      <c r="B43" t="inlineStr">
        <is>
          <t>S02</t>
        </is>
      </c>
      <c r="C43" s="4" t="n">
        <v>9215</v>
      </c>
      <c r="D43" s="4" t="n">
        <v>276</v>
      </c>
      <c r="E43" s="4" t="n">
        <v>92</v>
      </c>
      <c r="F43" t="n">
        <v>11</v>
      </c>
      <c r="G43" s="4">
        <f>C43-D43-E43</f>
        <v/>
      </c>
      <c r="H43" s="5">
        <f>IFERROR(VLOOKUP(B43,SELLERS!A:D,4,FALSE),4)</f>
        <v/>
      </c>
      <c r="I43" s="4">
        <f>G43*H43/100</f>
        <v/>
      </c>
    </row>
    <row r="44">
      <c r="A44" t="inlineStr">
        <is>
          <t>2026-09-04</t>
        </is>
      </c>
      <c r="B44" t="inlineStr">
        <is>
          <t>S03</t>
        </is>
      </c>
      <c r="C44" s="4" t="n">
        <v>6014</v>
      </c>
      <c r="D44" s="4" t="n">
        <v>180</v>
      </c>
      <c r="E44" s="4" t="n">
        <v>60</v>
      </c>
      <c r="F44" t="n">
        <v>7</v>
      </c>
      <c r="G44" s="4">
        <f>C44-D44-E44</f>
        <v/>
      </c>
      <c r="H44" s="5">
        <f>IFERROR(VLOOKUP(B44,SELLERS!A:D,4,FALSE),4)</f>
        <v/>
      </c>
      <c r="I44" s="4">
        <f>G44*H44/100</f>
        <v/>
      </c>
    </row>
    <row r="45">
      <c r="A45" t="inlineStr">
        <is>
          <t>2026-09-04</t>
        </is>
      </c>
      <c r="B45" t="inlineStr">
        <is>
          <t>S04</t>
        </is>
      </c>
      <c r="C45" s="4" t="n">
        <v>11155</v>
      </c>
      <c r="D45" s="4" t="n">
        <v>335</v>
      </c>
      <c r="E45" s="4" t="n">
        <v>112</v>
      </c>
      <c r="F45" t="n">
        <v>13</v>
      </c>
      <c r="G45" s="4">
        <f>C45-D45-E45</f>
        <v/>
      </c>
      <c r="H45" s="5">
        <f>IFERROR(VLOOKUP(B45,SELLERS!A:D,4,FALSE),4)</f>
        <v/>
      </c>
      <c r="I45" s="4">
        <f>G45*H45/100</f>
        <v/>
      </c>
    </row>
    <row r="46">
      <c r="A46" t="inlineStr">
        <is>
          <t>2026-09-04</t>
        </is>
      </c>
      <c r="B46" t="inlineStr">
        <is>
          <t>S05</t>
        </is>
      </c>
      <c r="C46" s="4" t="n">
        <v>4656</v>
      </c>
      <c r="D46" s="4" t="n">
        <v>140</v>
      </c>
      <c r="E46" s="4" t="n">
        <v>47</v>
      </c>
      <c r="F46" t="n">
        <v>5</v>
      </c>
      <c r="G46" s="4">
        <f>C46-D46-E46</f>
        <v/>
      </c>
      <c r="H46" s="5">
        <f>IFERROR(VLOOKUP(B46,SELLERS!A:D,4,FALSE),4)</f>
        <v/>
      </c>
      <c r="I46" s="4">
        <f>G46*H46/100</f>
        <v/>
      </c>
    </row>
    <row r="47">
      <c r="A47" t="inlineStr">
        <is>
          <t>2026-09-04</t>
        </is>
      </c>
      <c r="B47" t="inlineStr">
        <is>
          <t>S06</t>
        </is>
      </c>
      <c r="C47" s="4" t="n">
        <v>7566</v>
      </c>
      <c r="D47" s="4" t="n">
        <v>227</v>
      </c>
      <c r="E47" s="4" t="n">
        <v>76</v>
      </c>
      <c r="F47" t="n">
        <v>9</v>
      </c>
      <c r="G47" s="4">
        <f>C47-D47-E47</f>
        <v/>
      </c>
      <c r="H47" s="5">
        <f>IFERROR(VLOOKUP(B47,SELLERS!A:D,4,FALSE),4)</f>
        <v/>
      </c>
      <c r="I47" s="4">
        <f>G47*H47/100</f>
        <v/>
      </c>
    </row>
    <row r="48">
      <c r="A48" t="inlineStr">
        <is>
          <t>2026-09-04</t>
        </is>
      </c>
      <c r="B48" t="inlineStr">
        <is>
          <t>S07</t>
        </is>
      </c>
      <c r="C48" s="4" t="n">
        <v>3977</v>
      </c>
      <c r="D48" s="4" t="n">
        <v>119</v>
      </c>
      <c r="E48" s="4" t="n">
        <v>40</v>
      </c>
      <c r="F48" t="n">
        <v>4</v>
      </c>
      <c r="G48" s="4">
        <f>C48-D48-E48</f>
        <v/>
      </c>
      <c r="H48" s="5">
        <f>IFERROR(VLOOKUP(B48,SELLERS!A:D,4,FALSE),4)</f>
        <v/>
      </c>
      <c r="I48" s="4">
        <f>G48*H48/100</f>
        <v/>
      </c>
    </row>
    <row r="49">
      <c r="A49" t="inlineStr">
        <is>
          <t>2026-09-04</t>
        </is>
      </c>
      <c r="B49" t="inlineStr">
        <is>
          <t>S08</t>
        </is>
      </c>
      <c r="C49" s="4" t="n">
        <v>6693</v>
      </c>
      <c r="D49" s="4" t="n">
        <v>201</v>
      </c>
      <c r="E49" s="4" t="n">
        <v>67</v>
      </c>
      <c r="F49" t="n">
        <v>8</v>
      </c>
      <c r="G49" s="4">
        <f>C49-D49-E49</f>
        <v/>
      </c>
      <c r="H49" s="5">
        <f>IFERROR(VLOOKUP(B49,SELLERS!A:D,4,FALSE),4)</f>
        <v/>
      </c>
      <c r="I49" s="4">
        <f>G49*H49/100</f>
        <v/>
      </c>
    </row>
    <row r="50">
      <c r="A50" t="inlineStr">
        <is>
          <t>2026-09-04</t>
        </is>
      </c>
      <c r="B50" t="inlineStr">
        <is>
          <t>S09</t>
        </is>
      </c>
      <c r="C50" s="4" t="n">
        <v>3492</v>
      </c>
      <c r="D50" s="4" t="n">
        <v>105</v>
      </c>
      <c r="E50" s="4" t="n">
        <v>35</v>
      </c>
      <c r="F50" t="n">
        <v>4</v>
      </c>
      <c r="G50" s="4">
        <f>C50-D50-E50</f>
        <v/>
      </c>
      <c r="H50" s="5">
        <f>IFERROR(VLOOKUP(B50,SELLERS!A:D,4,FALSE),4)</f>
        <v/>
      </c>
      <c r="I50" s="4">
        <f>G50*H50/100</f>
        <v/>
      </c>
    </row>
    <row r="51">
      <c r="A51" t="inlineStr">
        <is>
          <t>2026-09-04</t>
        </is>
      </c>
      <c r="B51" t="inlineStr">
        <is>
          <t>S10</t>
        </is>
      </c>
      <c r="C51" s="4" t="n">
        <v>2900</v>
      </c>
      <c r="D51" s="4" t="n">
        <v>87</v>
      </c>
      <c r="E51" s="4" t="n">
        <v>29</v>
      </c>
      <c r="F51" t="n">
        <v>3</v>
      </c>
      <c r="G51" s="4">
        <f>C51-D51-E51</f>
        <v/>
      </c>
      <c r="H51" s="5">
        <f>IFERROR(VLOOKUP(B51,SELLERS!A:D,4,FALSE),4)</f>
        <v/>
      </c>
      <c r="I51" s="4">
        <f>G51*H51/100</f>
        <v/>
      </c>
    </row>
    <row r="52">
      <c r="A52" t="inlineStr">
        <is>
          <t>2026-09-05</t>
        </is>
      </c>
      <c r="B52" t="inlineStr">
        <is>
          <t>S01</t>
        </is>
      </c>
      <c r="C52" s="4" t="n">
        <v>14840</v>
      </c>
      <c r="D52" s="4" t="n">
        <v>445</v>
      </c>
      <c r="E52" s="4" t="n">
        <v>148</v>
      </c>
      <c r="F52" t="n">
        <v>18</v>
      </c>
      <c r="G52" s="4">
        <f>C52-D52-E52</f>
        <v/>
      </c>
      <c r="H52" s="5">
        <f>IFERROR(VLOOKUP(B52,SELLERS!A:D,4,FALSE),4)</f>
        <v/>
      </c>
      <c r="I52" s="4">
        <f>G52*H52/100</f>
        <v/>
      </c>
    </row>
    <row r="53">
      <c r="A53" t="inlineStr">
        <is>
          <t>2026-09-05</t>
        </is>
      </c>
      <c r="B53" t="inlineStr">
        <is>
          <t>S02</t>
        </is>
      </c>
      <c r="C53" s="4" t="n">
        <v>10070</v>
      </c>
      <c r="D53" s="4" t="n">
        <v>302</v>
      </c>
      <c r="E53" s="4" t="n">
        <v>101</v>
      </c>
      <c r="F53" t="n">
        <v>12</v>
      </c>
      <c r="G53" s="4">
        <f>C53-D53-E53</f>
        <v/>
      </c>
      <c r="H53" s="5">
        <f>IFERROR(VLOOKUP(B53,SELLERS!A:D,4,FALSE),4)</f>
        <v/>
      </c>
      <c r="I53" s="4">
        <f>G53*H53/100</f>
        <v/>
      </c>
    </row>
    <row r="54">
      <c r="A54" t="inlineStr">
        <is>
          <t>2026-09-05</t>
        </is>
      </c>
      <c r="B54" t="inlineStr">
        <is>
          <t>S03</t>
        </is>
      </c>
      <c r="C54" s="4" t="n">
        <v>6572</v>
      </c>
      <c r="D54" s="4" t="n">
        <v>197</v>
      </c>
      <c r="E54" s="4" t="n">
        <v>66</v>
      </c>
      <c r="F54" t="n">
        <v>8</v>
      </c>
      <c r="G54" s="4">
        <f>C54-D54-E54</f>
        <v/>
      </c>
      <c r="H54" s="5">
        <f>IFERROR(VLOOKUP(B54,SELLERS!A:D,4,FALSE),4)</f>
        <v/>
      </c>
      <c r="I54" s="4">
        <f>G54*H54/100</f>
        <v/>
      </c>
    </row>
    <row r="55">
      <c r="A55" t="inlineStr">
        <is>
          <t>2026-09-05</t>
        </is>
      </c>
      <c r="B55" t="inlineStr">
        <is>
          <t>S04</t>
        </is>
      </c>
      <c r="C55" s="4" t="n">
        <v>12190</v>
      </c>
      <c r="D55" s="4" t="n">
        <v>366</v>
      </c>
      <c r="E55" s="4" t="n">
        <v>122</v>
      </c>
      <c r="F55" t="n">
        <v>15</v>
      </c>
      <c r="G55" s="4">
        <f>C55-D55-E55</f>
        <v/>
      </c>
      <c r="H55" s="5">
        <f>IFERROR(VLOOKUP(B55,SELLERS!A:D,4,FALSE),4)</f>
        <v/>
      </c>
      <c r="I55" s="4">
        <f>G55*H55/100</f>
        <v/>
      </c>
    </row>
    <row r="56">
      <c r="A56" t="inlineStr">
        <is>
          <t>2026-09-05</t>
        </is>
      </c>
      <c r="B56" t="inlineStr">
        <is>
          <t>S05</t>
        </is>
      </c>
      <c r="C56" s="4" t="n">
        <v>5088</v>
      </c>
      <c r="D56" s="4" t="n">
        <v>153</v>
      </c>
      <c r="E56" s="4" t="n">
        <v>51</v>
      </c>
      <c r="F56" t="n">
        <v>6</v>
      </c>
      <c r="G56" s="4">
        <f>C56-D56-E56</f>
        <v/>
      </c>
      <c r="H56" s="5">
        <f>IFERROR(VLOOKUP(B56,SELLERS!A:D,4,FALSE),4)</f>
        <v/>
      </c>
      <c r="I56" s="4">
        <f>G56*H56/100</f>
        <v/>
      </c>
    </row>
    <row r="57">
      <c r="A57" t="inlineStr">
        <is>
          <t>2026-09-05</t>
        </is>
      </c>
      <c r="B57" t="inlineStr">
        <is>
          <t>S06</t>
        </is>
      </c>
      <c r="C57" s="4" t="n">
        <v>8268</v>
      </c>
      <c r="D57" s="4" t="n">
        <v>248</v>
      </c>
      <c r="E57" s="4" t="n">
        <v>83</v>
      </c>
      <c r="F57" t="n">
        <v>10</v>
      </c>
      <c r="G57" s="4">
        <f>C57-D57-E57</f>
        <v/>
      </c>
      <c r="H57" s="5">
        <f>IFERROR(VLOOKUP(B57,SELLERS!A:D,4,FALSE),4)</f>
        <v/>
      </c>
      <c r="I57" s="4">
        <f>G57*H57/100</f>
        <v/>
      </c>
    </row>
    <row r="58">
      <c r="A58" t="inlineStr">
        <is>
          <t>2026-09-05</t>
        </is>
      </c>
      <c r="B58" t="inlineStr">
        <is>
          <t>S07</t>
        </is>
      </c>
      <c r="C58" s="4" t="n">
        <v>4346</v>
      </c>
      <c r="D58" s="4" t="n">
        <v>130</v>
      </c>
      <c r="E58" s="4" t="n">
        <v>43</v>
      </c>
      <c r="F58" t="n">
        <v>5</v>
      </c>
      <c r="G58" s="4">
        <f>C58-D58-E58</f>
        <v/>
      </c>
      <c r="H58" s="5">
        <f>IFERROR(VLOOKUP(B58,SELLERS!A:D,4,FALSE),4)</f>
        <v/>
      </c>
      <c r="I58" s="4">
        <f>G58*H58/100</f>
        <v/>
      </c>
    </row>
    <row r="59">
      <c r="A59" t="inlineStr">
        <is>
          <t>2026-09-05</t>
        </is>
      </c>
      <c r="B59" t="inlineStr">
        <is>
          <t>S08</t>
        </is>
      </c>
      <c r="C59" s="4" t="n">
        <v>7314</v>
      </c>
      <c r="D59" s="4" t="n">
        <v>219</v>
      </c>
      <c r="E59" s="4" t="n">
        <v>73</v>
      </c>
      <c r="F59" t="n">
        <v>9</v>
      </c>
      <c r="G59" s="4">
        <f>C59-D59-E59</f>
        <v/>
      </c>
      <c r="H59" s="5">
        <f>IFERROR(VLOOKUP(B59,SELLERS!A:D,4,FALSE),4)</f>
        <v/>
      </c>
      <c r="I59" s="4">
        <f>G59*H59/100</f>
        <v/>
      </c>
    </row>
    <row r="60">
      <c r="A60" t="inlineStr">
        <is>
          <t>2026-09-05</t>
        </is>
      </c>
      <c r="B60" t="inlineStr">
        <is>
          <t>S09</t>
        </is>
      </c>
      <c r="C60" s="4" t="n">
        <v>3816</v>
      </c>
      <c r="D60" s="4" t="n">
        <v>114</v>
      </c>
      <c r="E60" s="4" t="n">
        <v>38</v>
      </c>
      <c r="F60" t="n">
        <v>4</v>
      </c>
      <c r="G60" s="4">
        <f>C60-D60-E60</f>
        <v/>
      </c>
      <c r="H60" s="5">
        <f>IFERROR(VLOOKUP(B60,SELLERS!A:D,4,FALSE),4)</f>
        <v/>
      </c>
      <c r="I60" s="4">
        <f>G60*H60/100</f>
        <v/>
      </c>
    </row>
    <row r="61">
      <c r="A61" t="inlineStr">
        <is>
          <t>2026-09-05</t>
        </is>
      </c>
      <c r="B61" t="inlineStr">
        <is>
          <t>S10</t>
        </is>
      </c>
      <c r="C61" s="4" t="n">
        <v>2726</v>
      </c>
      <c r="D61" s="4" t="n">
        <v>82</v>
      </c>
      <c r="E61" s="4" t="n">
        <v>27</v>
      </c>
      <c r="F61" t="n">
        <v>3</v>
      </c>
      <c r="G61" s="4">
        <f>C61-D61-E61</f>
        <v/>
      </c>
      <c r="H61" s="5">
        <f>IFERROR(VLOOKUP(B61,SELLERS!A:D,4,FALSE),4)</f>
        <v/>
      </c>
      <c r="I61" s="4">
        <f>G61*H61/100</f>
        <v/>
      </c>
    </row>
    <row r="62">
      <c r="A62" t="inlineStr">
        <is>
          <t>2026-09-06</t>
        </is>
      </c>
      <c r="B62" t="inlineStr">
        <is>
          <t>S01</t>
        </is>
      </c>
      <c r="C62" s="4" t="n">
        <v>14000</v>
      </c>
      <c r="D62" s="4" t="n">
        <v>420</v>
      </c>
      <c r="E62" s="4" t="n">
        <v>140</v>
      </c>
      <c r="F62" t="n">
        <v>17</v>
      </c>
      <c r="G62" s="4">
        <f>C62-D62-E62</f>
        <v/>
      </c>
      <c r="H62" s="5">
        <f>IFERROR(VLOOKUP(B62,SELLERS!A:D,4,FALSE),4)</f>
        <v/>
      </c>
      <c r="I62" s="4">
        <f>G62*H62/100</f>
        <v/>
      </c>
    </row>
    <row r="63">
      <c r="A63" t="inlineStr">
        <is>
          <t>2026-09-06</t>
        </is>
      </c>
      <c r="B63" t="inlineStr">
        <is>
          <t>S02</t>
        </is>
      </c>
      <c r="C63" s="4" t="n">
        <v>9500</v>
      </c>
      <c r="D63" s="4" t="n">
        <v>285</v>
      </c>
      <c r="E63" s="4" t="n">
        <v>95</v>
      </c>
      <c r="F63" t="n">
        <v>11</v>
      </c>
      <c r="G63" s="4">
        <f>C63-D63-E63</f>
        <v/>
      </c>
      <c r="H63" s="5">
        <f>IFERROR(VLOOKUP(B63,SELLERS!A:D,4,FALSE),4)</f>
        <v/>
      </c>
      <c r="I63" s="4">
        <f>G63*H63/100</f>
        <v/>
      </c>
    </row>
    <row r="64">
      <c r="A64" t="inlineStr">
        <is>
          <t>2026-09-06</t>
        </is>
      </c>
      <c r="B64" t="inlineStr">
        <is>
          <t>S03</t>
        </is>
      </c>
      <c r="C64" s="4" t="n">
        <v>6200</v>
      </c>
      <c r="D64" s="4" t="n">
        <v>186</v>
      </c>
      <c r="E64" s="4" t="n">
        <v>62</v>
      </c>
      <c r="F64" t="n">
        <v>7</v>
      </c>
      <c r="G64" s="4">
        <f>C64-D64-E64</f>
        <v/>
      </c>
      <c r="H64" s="5">
        <f>IFERROR(VLOOKUP(B64,SELLERS!A:D,4,FALSE),4)</f>
        <v/>
      </c>
      <c r="I64" s="4">
        <f>G64*H64/100</f>
        <v/>
      </c>
    </row>
    <row r="65">
      <c r="A65" t="inlineStr">
        <is>
          <t>2026-09-06</t>
        </is>
      </c>
      <c r="B65" t="inlineStr">
        <is>
          <t>S04</t>
        </is>
      </c>
      <c r="C65" s="4" t="n">
        <v>11500</v>
      </c>
      <c r="D65" s="4" t="n">
        <v>345</v>
      </c>
      <c r="E65" s="4" t="n">
        <v>115</v>
      </c>
      <c r="F65" t="n">
        <v>14</v>
      </c>
      <c r="G65" s="4">
        <f>C65-D65-E65</f>
        <v/>
      </c>
      <c r="H65" s="5">
        <f>IFERROR(VLOOKUP(B65,SELLERS!A:D,4,FALSE),4)</f>
        <v/>
      </c>
      <c r="I65" s="4">
        <f>G65*H65/100</f>
        <v/>
      </c>
    </row>
    <row r="66">
      <c r="A66" t="inlineStr">
        <is>
          <t>2026-09-06</t>
        </is>
      </c>
      <c r="B66" t="inlineStr">
        <is>
          <t>S05</t>
        </is>
      </c>
      <c r="C66" s="4" t="n">
        <v>2160</v>
      </c>
      <c r="D66" s="4" t="n">
        <v>65</v>
      </c>
      <c r="E66" s="4" t="n">
        <v>22</v>
      </c>
      <c r="F66" t="n">
        <v>2</v>
      </c>
      <c r="G66" s="4">
        <f>C66-D66-E66</f>
        <v/>
      </c>
      <c r="H66" s="5">
        <f>IFERROR(VLOOKUP(B66,SELLERS!A:D,4,FALSE),4)</f>
        <v/>
      </c>
      <c r="I66" s="4">
        <f>G66*H66/100</f>
        <v/>
      </c>
    </row>
    <row r="67">
      <c r="A67" t="inlineStr">
        <is>
          <t>2026-09-06</t>
        </is>
      </c>
      <c r="B67" t="inlineStr">
        <is>
          <t>S06</t>
        </is>
      </c>
      <c r="C67" s="4" t="n">
        <v>7800</v>
      </c>
      <c r="D67" s="4" t="n">
        <v>234</v>
      </c>
      <c r="E67" s="4" t="n">
        <v>78</v>
      </c>
      <c r="F67" t="n">
        <v>9</v>
      </c>
      <c r="G67" s="4">
        <f>C67-D67-E67</f>
        <v/>
      </c>
      <c r="H67" s="5">
        <f>IFERROR(VLOOKUP(B67,SELLERS!A:D,4,FALSE),4)</f>
        <v/>
      </c>
      <c r="I67" s="4">
        <f>G67*H67/100</f>
        <v/>
      </c>
    </row>
    <row r="68">
      <c r="A68" t="inlineStr">
        <is>
          <t>2026-09-06</t>
        </is>
      </c>
      <c r="B68" t="inlineStr">
        <is>
          <t>S07</t>
        </is>
      </c>
      <c r="C68" s="4" t="n">
        <v>4100</v>
      </c>
      <c r="D68" s="4" t="n">
        <v>123</v>
      </c>
      <c r="E68" s="4" t="n">
        <v>41</v>
      </c>
      <c r="F68" t="n">
        <v>5</v>
      </c>
      <c r="G68" s="4">
        <f>C68-D68-E68</f>
        <v/>
      </c>
      <c r="H68" s="5">
        <f>IFERROR(VLOOKUP(B68,SELLERS!A:D,4,FALSE),4)</f>
        <v/>
      </c>
      <c r="I68" s="4">
        <f>G68*H68/100</f>
        <v/>
      </c>
    </row>
    <row r="69">
      <c r="A69" t="inlineStr">
        <is>
          <t>2026-09-06</t>
        </is>
      </c>
      <c r="B69" t="inlineStr">
        <is>
          <t>S08</t>
        </is>
      </c>
      <c r="C69" s="4" t="n">
        <v>6900</v>
      </c>
      <c r="D69" s="4" t="n">
        <v>207</v>
      </c>
      <c r="E69" s="4" t="n">
        <v>69</v>
      </c>
      <c r="F69" t="n">
        <v>8</v>
      </c>
      <c r="G69" s="4">
        <f>C69-D69-E69</f>
        <v/>
      </c>
      <c r="H69" s="5">
        <f>IFERROR(VLOOKUP(B69,SELLERS!A:D,4,FALSE),4)</f>
        <v/>
      </c>
      <c r="I69" s="4">
        <f>G69*H69/100</f>
        <v/>
      </c>
    </row>
    <row r="70">
      <c r="A70" t="inlineStr">
        <is>
          <t>2026-09-06</t>
        </is>
      </c>
      <c r="B70" t="inlineStr">
        <is>
          <t>S09</t>
        </is>
      </c>
      <c r="C70" s="4" t="n">
        <v>3600</v>
      </c>
      <c r="D70" s="4" t="n">
        <v>108</v>
      </c>
      <c r="E70" s="4" t="n">
        <v>36</v>
      </c>
      <c r="F70" t="n">
        <v>4</v>
      </c>
      <c r="G70" s="4">
        <f>C70-D70-E70</f>
        <v/>
      </c>
      <c r="H70" s="5">
        <f>IFERROR(VLOOKUP(B70,SELLERS!A:D,4,FALSE),4)</f>
        <v/>
      </c>
      <c r="I70" s="4">
        <f>G70*H70/100</f>
        <v/>
      </c>
    </row>
    <row r="71">
      <c r="A71" t="inlineStr">
        <is>
          <t>2026-09-06</t>
        </is>
      </c>
      <c r="B71" t="inlineStr">
        <is>
          <t>S10</t>
        </is>
      </c>
      <c r="C71" s="4" t="n">
        <v>2987</v>
      </c>
      <c r="D71" s="4" t="n">
        <v>90</v>
      </c>
      <c r="E71" s="4" t="n">
        <v>30</v>
      </c>
      <c r="F71" t="n">
        <v>3</v>
      </c>
      <c r="G71" s="4">
        <f>C71-D71-E71</f>
        <v/>
      </c>
      <c r="H71" s="5">
        <f>IFERROR(VLOOKUP(B71,SELLERS!A:D,4,FALSE),4)</f>
        <v/>
      </c>
      <c r="I71" s="4">
        <f>G71*H71/100</f>
        <v/>
      </c>
    </row>
    <row r="72">
      <c r="A72" t="inlineStr">
        <is>
          <t>2026-09-07</t>
        </is>
      </c>
      <c r="B72" t="inlineStr">
        <is>
          <t>S01</t>
        </is>
      </c>
      <c r="C72" s="4" t="n">
        <v>13160</v>
      </c>
      <c r="D72" s="4" t="n">
        <v>395</v>
      </c>
      <c r="E72" s="4" t="n">
        <v>132</v>
      </c>
      <c r="F72" t="n">
        <v>16</v>
      </c>
      <c r="G72" s="4">
        <f>C72-D72-E72</f>
        <v/>
      </c>
      <c r="H72" s="5">
        <f>IFERROR(VLOOKUP(B72,SELLERS!A:D,4,FALSE),4)</f>
        <v/>
      </c>
      <c r="I72" s="4">
        <f>G72*H72/100</f>
        <v/>
      </c>
    </row>
    <row r="73">
      <c r="A73" t="inlineStr">
        <is>
          <t>2026-09-07</t>
        </is>
      </c>
      <c r="B73" t="inlineStr">
        <is>
          <t>S02</t>
        </is>
      </c>
      <c r="C73" s="4" t="n">
        <v>8930</v>
      </c>
      <c r="D73" s="4" t="n">
        <v>268</v>
      </c>
      <c r="E73" s="4" t="n">
        <v>89</v>
      </c>
      <c r="F73" t="n">
        <v>11</v>
      </c>
      <c r="G73" s="4">
        <f>C73-D73-E73</f>
        <v/>
      </c>
      <c r="H73" s="5">
        <f>IFERROR(VLOOKUP(B73,SELLERS!A:D,4,FALSE),4)</f>
        <v/>
      </c>
      <c r="I73" s="4">
        <f>G73*H73/100</f>
        <v/>
      </c>
    </row>
    <row r="74">
      <c r="A74" t="inlineStr">
        <is>
          <t>2026-09-07</t>
        </is>
      </c>
      <c r="B74" t="inlineStr">
        <is>
          <t>S03</t>
        </is>
      </c>
      <c r="C74" s="4" t="n">
        <v>5828</v>
      </c>
      <c r="D74" s="4" t="n">
        <v>175</v>
      </c>
      <c r="E74" s="4" t="n">
        <v>58</v>
      </c>
      <c r="F74" t="n">
        <v>7</v>
      </c>
      <c r="G74" s="4">
        <f>C74-D74-E74</f>
        <v/>
      </c>
      <c r="H74" s="5">
        <f>IFERROR(VLOOKUP(B74,SELLERS!A:D,4,FALSE),4)</f>
        <v/>
      </c>
      <c r="I74" s="4">
        <f>G74*H74/100</f>
        <v/>
      </c>
    </row>
    <row r="75">
      <c r="A75" t="inlineStr">
        <is>
          <t>2026-09-07</t>
        </is>
      </c>
      <c r="B75" t="inlineStr">
        <is>
          <t>S04</t>
        </is>
      </c>
      <c r="C75" s="4" t="n">
        <v>10810</v>
      </c>
      <c r="D75" s="4" t="n">
        <v>324</v>
      </c>
      <c r="E75" s="4" t="n">
        <v>108</v>
      </c>
      <c r="F75" t="n">
        <v>13</v>
      </c>
      <c r="G75" s="4">
        <f>C75-D75-E75</f>
        <v/>
      </c>
      <c r="H75" s="5">
        <f>IFERROR(VLOOKUP(B75,SELLERS!A:D,4,FALSE),4)</f>
        <v/>
      </c>
      <c r="I75" s="4">
        <f>G75*H75/100</f>
        <v/>
      </c>
    </row>
    <row r="76">
      <c r="A76" t="inlineStr">
        <is>
          <t>2026-09-07</t>
        </is>
      </c>
      <c r="B76" t="inlineStr">
        <is>
          <t>S05</t>
        </is>
      </c>
      <c r="C76" s="4" t="n">
        <v>2030</v>
      </c>
      <c r="D76" s="4" t="n">
        <v>61</v>
      </c>
      <c r="E76" s="4" t="n">
        <v>20</v>
      </c>
      <c r="F76" t="n">
        <v>2</v>
      </c>
      <c r="G76" s="4">
        <f>C76-D76-E76</f>
        <v/>
      </c>
      <c r="H76" s="5">
        <f>IFERROR(VLOOKUP(B76,SELLERS!A:D,4,FALSE),4)</f>
        <v/>
      </c>
      <c r="I76" s="4">
        <f>G76*H76/100</f>
        <v/>
      </c>
    </row>
    <row r="77">
      <c r="A77" t="inlineStr">
        <is>
          <t>2026-09-07</t>
        </is>
      </c>
      <c r="B77" t="inlineStr">
        <is>
          <t>S06</t>
        </is>
      </c>
      <c r="C77" s="4" t="n">
        <v>7332</v>
      </c>
      <c r="D77" s="4" t="n">
        <v>220</v>
      </c>
      <c r="E77" s="4" t="n">
        <v>73</v>
      </c>
      <c r="F77" t="n">
        <v>9</v>
      </c>
      <c r="G77" s="4">
        <f>C77-D77-E77</f>
        <v/>
      </c>
      <c r="H77" s="5">
        <f>IFERROR(VLOOKUP(B77,SELLERS!A:D,4,FALSE),4)</f>
        <v/>
      </c>
      <c r="I77" s="4">
        <f>G77*H77/100</f>
        <v/>
      </c>
    </row>
    <row r="78">
      <c r="A78" t="inlineStr">
        <is>
          <t>2026-09-07</t>
        </is>
      </c>
      <c r="B78" t="inlineStr">
        <is>
          <t>S07</t>
        </is>
      </c>
      <c r="C78" s="4" t="n">
        <v>3854</v>
      </c>
      <c r="D78" s="4" t="n">
        <v>116</v>
      </c>
      <c r="E78" s="4" t="n">
        <v>39</v>
      </c>
      <c r="F78" t="n">
        <v>4</v>
      </c>
      <c r="G78" s="4">
        <f>C78-D78-E78</f>
        <v/>
      </c>
      <c r="H78" s="5">
        <f>IFERROR(VLOOKUP(B78,SELLERS!A:D,4,FALSE),4)</f>
        <v/>
      </c>
      <c r="I78" s="4">
        <f>G78*H78/100</f>
        <v/>
      </c>
    </row>
    <row r="79">
      <c r="A79" t="inlineStr">
        <is>
          <t>2026-09-07</t>
        </is>
      </c>
      <c r="B79" t="inlineStr">
        <is>
          <t>S08</t>
        </is>
      </c>
      <c r="C79" s="4" t="n">
        <v>6486</v>
      </c>
      <c r="D79" s="4" t="n">
        <v>195</v>
      </c>
      <c r="E79" s="4" t="n">
        <v>65</v>
      </c>
      <c r="F79" t="n">
        <v>8</v>
      </c>
      <c r="G79" s="4">
        <f>C79-D79-E79</f>
        <v/>
      </c>
      <c r="H79" s="5">
        <f>IFERROR(VLOOKUP(B79,SELLERS!A:D,4,FALSE),4)</f>
        <v/>
      </c>
      <c r="I79" s="4">
        <f>G79*H79/100</f>
        <v/>
      </c>
    </row>
    <row r="80">
      <c r="A80" t="inlineStr">
        <is>
          <t>2026-09-07</t>
        </is>
      </c>
      <c r="B80" t="inlineStr">
        <is>
          <t>S09</t>
        </is>
      </c>
      <c r="C80" s="4" t="n">
        <v>3384</v>
      </c>
      <c r="D80" s="4" t="n">
        <v>102</v>
      </c>
      <c r="E80" s="4" t="n">
        <v>34</v>
      </c>
      <c r="F80" t="n">
        <v>4</v>
      </c>
      <c r="G80" s="4">
        <f>C80-D80-E80</f>
        <v/>
      </c>
      <c r="H80" s="5">
        <f>IFERROR(VLOOKUP(B80,SELLERS!A:D,4,FALSE),4)</f>
        <v/>
      </c>
      <c r="I80" s="4">
        <f>G80*H80/100</f>
        <v/>
      </c>
    </row>
    <row r="81">
      <c r="A81" t="inlineStr">
        <is>
          <t>2026-09-07</t>
        </is>
      </c>
      <c r="B81" t="inlineStr">
        <is>
          <t>S10</t>
        </is>
      </c>
      <c r="C81" s="4" t="n">
        <v>2813</v>
      </c>
      <c r="D81" s="4" t="n">
        <v>84</v>
      </c>
      <c r="E81" s="4" t="n">
        <v>28</v>
      </c>
      <c r="F81" t="n">
        <v>3</v>
      </c>
      <c r="G81" s="4">
        <f>C81-D81-E81</f>
        <v/>
      </c>
      <c r="H81" s="5">
        <f>IFERROR(VLOOKUP(B81,SELLERS!A:D,4,FALSE),4)</f>
        <v/>
      </c>
      <c r="I81" s="4">
        <f>G81*H81/100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3" customWidth="1" min="4" max="4"/>
    <col width="9" customWidth="1" min="5" max="5"/>
    <col width="13" customWidth="1" min="6" max="6"/>
    <col width="14" customWidth="1" min="7" max="7"/>
    <col width="34" customWidth="1" min="8" max="8"/>
  </cols>
  <sheetData>
    <row r="1">
      <c r="A1" s="6" t="inlineStr">
        <is>
          <t>Seller</t>
        </is>
      </c>
      <c r="B1" s="6" t="inlineStr">
        <is>
          <t>Cancellation %</t>
        </is>
      </c>
      <c r="C1" s="6" t="inlineStr">
        <is>
          <t>RTD Breach %</t>
        </is>
      </c>
      <c r="D1" s="6" t="inlineStr">
        <is>
          <t>Return Rate %</t>
        </is>
      </c>
      <c r="E1" s="6" t="inlineStr">
        <is>
          <t>Rating</t>
        </is>
      </c>
      <c r="F1" s="6" t="inlineStr">
        <is>
          <t>Stockout SKUs</t>
        </is>
      </c>
      <c r="G1" s="6" t="inlineStr">
        <is>
          <t>Score Status</t>
        </is>
      </c>
      <c r="H1" s="6" t="inlineStr">
        <is>
          <t>Notes</t>
        </is>
      </c>
    </row>
    <row r="2">
      <c r="A2" t="inlineStr">
        <is>
          <t>S01</t>
        </is>
      </c>
      <c r="B2" s="7" t="n">
        <v>1.8</v>
      </c>
      <c r="C2" s="7" t="n">
        <v>1.2</v>
      </c>
      <c r="D2" s="7" t="n">
        <v>6.1</v>
      </c>
      <c r="E2" s="7" t="n">
        <v>4.3</v>
      </c>
      <c r="F2" t="n">
        <v>2</v>
      </c>
      <c r="G2">
        <f>IF(OR(B2&gt;2.5,C2&gt;2,D2&gt;8,E2&lt;4),"🔴 RED","✅ GREEN")</f>
        <v/>
      </c>
      <c r="H2" t="inlineStr">
        <is>
          <t>sample data — real KPIs API se aayenge</t>
        </is>
      </c>
    </row>
    <row r="3">
      <c r="A3" t="inlineStr">
        <is>
          <t>S02</t>
        </is>
      </c>
      <c r="B3" s="7" t="n">
        <v>3.4</v>
      </c>
      <c r="C3" s="7" t="n">
        <v>2.8</v>
      </c>
      <c r="D3" s="7" t="n">
        <v>7.2</v>
      </c>
      <c r="E3" s="7" t="n">
        <v>4</v>
      </c>
      <c r="F3" t="n">
        <v>5</v>
      </c>
      <c r="G3">
        <f>IF(OR(B3&gt;2.5,C3&gt;2,D3&gt;8,E3&lt;4),"🔴 RED","✅ GREEN")</f>
        <v/>
      </c>
      <c r="H3" t="inlineStr">
        <is>
          <t>sample data — real KPIs API se aayenge</t>
        </is>
      </c>
    </row>
    <row r="4">
      <c r="A4" t="inlineStr">
        <is>
          <t>S03</t>
        </is>
      </c>
      <c r="B4" s="7" t="n">
        <v>2.1</v>
      </c>
      <c r="C4" s="7" t="n">
        <v>0.9</v>
      </c>
      <c r="D4" s="7" t="n">
        <v>8.4</v>
      </c>
      <c r="E4" s="7" t="n">
        <v>4.2</v>
      </c>
      <c r="F4" t="n">
        <v>1</v>
      </c>
      <c r="G4">
        <f>IF(OR(B4&gt;2.5,C4&gt;2,D4&gt;8,E4&lt;4),"🔴 RED","✅ GREEN")</f>
        <v/>
      </c>
      <c r="H4" t="inlineStr">
        <is>
          <t>sample data — real KPIs API se aayenge</t>
        </is>
      </c>
    </row>
    <row r="5">
      <c r="A5" t="inlineStr">
        <is>
          <t>S04</t>
        </is>
      </c>
      <c r="B5" s="7" t="n">
        <v>1.5</v>
      </c>
      <c r="C5" s="7" t="n">
        <v>1.1</v>
      </c>
      <c r="D5" s="7" t="n">
        <v>5.8</v>
      </c>
      <c r="E5" s="7" t="n">
        <v>4.4</v>
      </c>
      <c r="F5" t="n">
        <v>0</v>
      </c>
      <c r="G5">
        <f>IF(OR(B5&gt;2.5,C5&gt;2,D5&gt;8,E5&lt;4),"🔴 RED","✅ GREEN")</f>
        <v/>
      </c>
      <c r="H5" t="inlineStr">
        <is>
          <t>sample data — real KPIs API se aayenge</t>
        </is>
      </c>
    </row>
    <row r="6">
      <c r="A6" t="inlineStr">
        <is>
          <t>S05</t>
        </is>
      </c>
      <c r="B6" s="7" t="n">
        <v>4.2</v>
      </c>
      <c r="C6" s="7" t="n">
        <v>3.1</v>
      </c>
      <c r="D6" s="7" t="n">
        <v>9.1</v>
      </c>
      <c r="E6" s="7" t="n">
        <v>3.9</v>
      </c>
      <c r="F6" t="n">
        <v>7</v>
      </c>
      <c r="G6">
        <f>IF(OR(B6&gt;2.5,C6&gt;2,D6&gt;8,E6&lt;4),"🔴 RED","✅ GREEN")</f>
        <v/>
      </c>
      <c r="H6" t="inlineStr">
        <is>
          <t>sample data — real KPIs API se aayenge</t>
        </is>
      </c>
    </row>
    <row r="7">
      <c r="A7" t="inlineStr">
        <is>
          <t>S06</t>
        </is>
      </c>
      <c r="B7" s="7" t="n">
        <v>2.8</v>
      </c>
      <c r="C7" s="7" t="n">
        <v>1.6</v>
      </c>
      <c r="D7" s="7" t="n">
        <v>6.9</v>
      </c>
      <c r="E7" s="7" t="n">
        <v>4.1</v>
      </c>
      <c r="F7" t="n">
        <v>3</v>
      </c>
      <c r="G7">
        <f>IF(OR(B7&gt;2.5,C7&gt;2,D7&gt;8,E7&lt;4),"🔴 RED","✅ GREEN")</f>
        <v/>
      </c>
      <c r="H7" t="inlineStr">
        <is>
          <t>sample data — real KPIs API se aayenge</t>
        </is>
      </c>
    </row>
    <row r="8">
      <c r="A8" t="inlineStr">
        <is>
          <t>S07</t>
        </is>
      </c>
      <c r="B8" s="7" t="n">
        <v>1.2</v>
      </c>
      <c r="C8" s="7" t="n">
        <v>0.8</v>
      </c>
      <c r="D8" s="7" t="n">
        <v>4.9</v>
      </c>
      <c r="E8" s="7" t="n">
        <v>4.5</v>
      </c>
      <c r="F8" t="n">
        <v>0</v>
      </c>
      <c r="G8">
        <f>IF(OR(B8&gt;2.5,C8&gt;2,D8&gt;8,E8&lt;4),"🔴 RED","✅ GREEN")</f>
        <v/>
      </c>
      <c r="H8" t="inlineStr">
        <is>
          <t>sample data — real KPIs API se aayenge</t>
        </is>
      </c>
    </row>
    <row r="9">
      <c r="A9" t="inlineStr">
        <is>
          <t>S08</t>
        </is>
      </c>
      <c r="B9" s="7" t="n">
        <v>2.5</v>
      </c>
      <c r="C9" s="7" t="n">
        <v>2.2</v>
      </c>
      <c r="D9" s="7" t="n">
        <v>7.8</v>
      </c>
      <c r="E9" s="7" t="n">
        <v>4</v>
      </c>
      <c r="F9" t="n">
        <v>4</v>
      </c>
      <c r="G9">
        <f>IF(OR(B9&gt;2.5,C9&gt;2,D9&gt;8,E9&lt;4),"🔴 RED","✅ GREEN")</f>
        <v/>
      </c>
      <c r="H9" t="inlineStr">
        <is>
          <t>sample data — real KPIs API se aayenge</t>
        </is>
      </c>
    </row>
    <row r="10">
      <c r="A10" t="inlineStr">
        <is>
          <t>S09</t>
        </is>
      </c>
      <c r="B10" s="7" t="n">
        <v>1.9</v>
      </c>
      <c r="C10" s="7" t="n">
        <v>1.4</v>
      </c>
      <c r="D10" s="7" t="n">
        <v>6.4</v>
      </c>
      <c r="E10" s="7" t="n">
        <v>4.3</v>
      </c>
      <c r="F10" t="n">
        <v>2</v>
      </c>
      <c r="G10">
        <f>IF(OR(B10&gt;2.5,C10&gt;2,D10&gt;8,E10&lt;4),"🔴 RED","✅ GREEN")</f>
        <v/>
      </c>
      <c r="H10" t="inlineStr">
        <is>
          <t>sample data — real KPIs API se aayenge</t>
        </is>
      </c>
    </row>
    <row r="11">
      <c r="A11" t="inlineStr">
        <is>
          <t>S10</t>
        </is>
      </c>
      <c r="B11" s="7" t="n">
        <v>2.2</v>
      </c>
      <c r="C11" s="7" t="n">
        <v>1</v>
      </c>
      <c r="D11" s="7" t="n">
        <v>5.2</v>
      </c>
      <c r="E11" s="7" t="n">
        <v>4.6</v>
      </c>
      <c r="F11" t="n">
        <v>1</v>
      </c>
      <c r="G11">
        <f>IF(OR(B11&gt;2.5,C11&gt;2,D11&gt;8,E11&lt;4),"🔴 RED","✅ GREEN")</f>
        <v/>
      </c>
      <c r="H11" t="inlineStr">
        <is>
          <t>sample data — real KPIs API se aayenge</t>
        </is>
      </c>
    </row>
  </sheetData>
  <conditionalFormatting sqref="B2:B11">
    <cfRule type="cellIs" priority="1" operator="greaterThan" dxfId="2">
      <formula>2.5</formula>
    </cfRule>
  </conditionalFormatting>
  <conditionalFormatting sqref="C2:C11">
    <cfRule type="cellIs" priority="2" operator="greaterThan" dxfId="2">
      <formula>2</formula>
    </cfRule>
  </conditionalFormatting>
  <conditionalFormatting sqref="D2:D11">
    <cfRule type="cellIs" priority="3" operator="greaterThan" dxfId="2">
      <formula>8</formula>
    </cfRule>
  </conditionalFormatting>
  <conditionalFormatting sqref="E2:E11">
    <cfRule type="cellIs" priority="4" operator="lessThan" dxfId="2">
      <formula>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6" customWidth="1" min="4" max="4"/>
    <col width="16" customWidth="1" min="5" max="5"/>
    <col width="12" customWidth="1" min="6" max="6"/>
  </cols>
  <sheetData>
    <row r="1">
      <c r="A1" s="6" t="inlineStr">
        <is>
          <t>Month</t>
        </is>
      </c>
      <c r="B1" s="6" t="inlineStr">
        <is>
          <t>Total Net GMV (₹)</t>
        </is>
      </c>
      <c r="C1" s="6" t="inlineStr">
        <is>
          <t>Total Aapka (₹)</t>
        </is>
      </c>
      <c r="D1" s="6" t="inlineStr">
        <is>
          <t>System Costs (₹)</t>
        </is>
      </c>
      <c r="E1" s="6" t="inlineStr">
        <is>
          <t>NET PROFIT (₹)</t>
        </is>
      </c>
      <c r="F1" s="6" t="inlineStr">
        <is>
          <t>Avg Rate %</t>
        </is>
      </c>
    </row>
    <row r="2">
      <c r="A2">
        <f>IF(DAILY-LOG!A2="","",TEXT(DATE(2026,1,1),"MMM YYYY"))</f>
        <v/>
      </c>
      <c r="B2" s="4">
        <f>SUMIF(DAILY-LOG!A:A,A2,DAILY-LOG!G:G)</f>
        <v/>
      </c>
      <c r="C2" s="4">
        <f>SUMIF(DAILY-LOG!A:A,A2,DAILY-LOG!I:I)</f>
        <v/>
      </c>
      <c r="D2" s="4" t="n">
        <v>5000</v>
      </c>
      <c r="E2" s="4">
        <f>C2-D2</f>
        <v/>
      </c>
      <c r="F2" s="7">
        <f>IF(B2=0,0,C2/B2*100)</f>
        <v/>
      </c>
    </row>
    <row r="3">
      <c r="A3">
        <f>IF(DAILY-LOG!A42="","",TEXT(DATE(2026,2,1),"MMM YYYY"))</f>
        <v/>
      </c>
      <c r="B3" s="4">
        <f>SUMIF(DAILY-LOG!A:A,A3,DAILY-LOG!G:G)</f>
        <v/>
      </c>
      <c r="C3" s="4">
        <f>SUMIF(DAILY-LOG!A:A,A3,DAILY-LOG!I:I)</f>
        <v/>
      </c>
      <c r="D3" s="4" t="n">
        <v>5000</v>
      </c>
      <c r="E3" s="4">
        <f>C3-D3</f>
        <v/>
      </c>
      <c r="F3" s="7">
        <f>IF(B3=0,0,C3/B3*100)</f>
        <v/>
      </c>
    </row>
    <row r="4">
      <c r="A4">
        <f>IF(DAILY-LOG!A82="","",TEXT(DATE(2026,3,1),"MMM YYYY"))</f>
        <v/>
      </c>
      <c r="B4" s="4">
        <f>SUMIF(DAILY-LOG!A:A,A4,DAILY-LOG!G:G)</f>
        <v/>
      </c>
      <c r="C4" s="4">
        <f>SUMIF(DAILY-LOG!A:A,A4,DAILY-LOG!I:I)</f>
        <v/>
      </c>
      <c r="D4" s="4" t="n">
        <v>5000</v>
      </c>
      <c r="E4" s="4">
        <f>C4-D4</f>
        <v/>
      </c>
      <c r="F4" s="7">
        <f>IF(B4=0,0,C4/B4*100)</f>
        <v/>
      </c>
    </row>
    <row r="5">
      <c r="A5">
        <f>IF(DAILY-LOG!A122="","",TEXT(DATE(2026,4,1),"MMM YYYY"))</f>
        <v/>
      </c>
      <c r="B5" s="4">
        <f>SUMIF(DAILY-LOG!A:A,A5,DAILY-LOG!G:G)</f>
        <v/>
      </c>
      <c r="C5" s="4">
        <f>SUMIF(DAILY-LOG!A:A,A5,DAILY-LOG!I:I)</f>
        <v/>
      </c>
      <c r="D5" s="4" t="n">
        <v>5000</v>
      </c>
      <c r="E5" s="4">
        <f>C5-D5</f>
        <v/>
      </c>
      <c r="F5" s="7">
        <f>IF(B5=0,0,C5/B5*100)</f>
        <v/>
      </c>
    </row>
    <row r="6">
      <c r="A6">
        <f>IF(DAILY-LOG!A162="","",TEXT(DATE(2026,5,1),"MMM YYYY"))</f>
        <v/>
      </c>
      <c r="B6" s="4">
        <f>SUMIF(DAILY-LOG!A:A,A6,DAILY-LOG!G:G)</f>
        <v/>
      </c>
      <c r="C6" s="4">
        <f>SUMIF(DAILY-LOG!A:A,A6,DAILY-LOG!I:I)</f>
        <v/>
      </c>
      <c r="D6" s="4" t="n">
        <v>5000</v>
      </c>
      <c r="E6" s="4">
        <f>C6-D6</f>
        <v/>
      </c>
      <c r="F6" s="7">
        <f>IF(B6=0,0,C6/B6*100)</f>
        <v/>
      </c>
    </row>
    <row r="7">
      <c r="A7">
        <f>IF(DAILY-LOG!A202="","",TEXT(DATE(2026,6,1),"MMM YYYY"))</f>
        <v/>
      </c>
      <c r="B7" s="4">
        <f>SUMIF(DAILY-LOG!A:A,A7,DAILY-LOG!G:G)</f>
        <v/>
      </c>
      <c r="C7" s="4">
        <f>SUMIF(DAILY-LOG!A:A,A7,DAILY-LOG!I:I)</f>
        <v/>
      </c>
      <c r="D7" s="4" t="n">
        <v>5000</v>
      </c>
      <c r="E7" s="4">
        <f>C7-D7</f>
        <v/>
      </c>
      <c r="F7" s="7">
        <f>IF(B7=0,0,C7/B7*100)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40" customWidth="1" min="4" max="4"/>
  </cols>
  <sheetData>
    <row r="1">
      <c r="A1" s="6" t="inlineStr">
        <is>
          <t>Item</t>
        </is>
      </c>
      <c r="B1" s="6" t="inlineStr">
        <is>
          <t>Provider</t>
        </is>
      </c>
      <c r="C1" s="6" t="inlineStr">
        <is>
          <t>₹/Month</t>
        </is>
      </c>
      <c r="D1" s="6" t="inlineStr">
        <is>
          <t>Notes</t>
        </is>
      </c>
    </row>
    <row r="2">
      <c r="A2" t="inlineStr">
        <is>
          <t>Server (VPS)</t>
        </is>
      </c>
      <c r="B2" t="inlineStr">
        <is>
          <t>Oracle Cloud Always Free</t>
        </is>
      </c>
      <c r="C2" t="n">
        <v>0</v>
      </c>
      <c r="D2" t="inlineStr">
        <is>
          <t>A1 ARM 4 OCPU/24GB — free forever</t>
        </is>
      </c>
    </row>
    <row r="3">
      <c r="A3" t="inlineStr">
        <is>
          <t>Automation (n8n)</t>
        </is>
      </c>
      <c r="B3" t="inlineStr">
        <is>
          <t>Self-hosted Docker</t>
        </is>
      </c>
      <c r="C3" t="n">
        <v>0</v>
      </c>
      <c r="D3" t="inlineStr">
        <is>
          <t>MIT/fair-code — free internal use</t>
        </is>
      </c>
    </row>
    <row r="4">
      <c r="A4" t="inlineStr">
        <is>
          <t>AI (LLM)</t>
        </is>
      </c>
      <c r="B4" t="inlineStr">
        <is>
          <t>Google Gemini API free tier</t>
        </is>
      </c>
      <c r="C4" t="n">
        <v>0</v>
      </c>
      <c r="D4" t="inlineStr">
        <is>
          <t>~₹415 upgrade optional (OpenAI)</t>
        </is>
      </c>
    </row>
    <row r="5">
      <c r="A5" t="inlineStr">
        <is>
          <t>Interface</t>
        </is>
      </c>
      <c r="B5" t="inlineStr">
        <is>
          <t>Telegram bot</t>
        </is>
      </c>
      <c r="C5" t="n">
        <v>0</v>
      </c>
      <c r="D5" t="inlineStr">
        <is>
          <t>Free</t>
        </is>
      </c>
    </row>
    <row r="6">
      <c r="A6" t="inlineStr">
        <is>
          <t>Backup</t>
        </is>
      </c>
      <c r="B6" t="inlineStr">
        <is>
          <t>Google Drive (rclone)</t>
        </is>
      </c>
      <c r="C6" t="n">
        <v>0</v>
      </c>
      <c r="D6" t="inlineStr">
        <is>
          <t>15GB free</t>
        </is>
      </c>
    </row>
    <row r="7">
      <c r="A7" t="inlineStr">
        <is>
          <t>WhatsApp (Phase 2)</t>
        </is>
      </c>
      <c r="B7" t="inlineStr">
        <is>
          <t>WATI/Interakt</t>
        </is>
      </c>
      <c r="C7" t="n">
        <v>0</v>
      </c>
      <c r="D7" t="inlineStr">
        <is>
          <t>Free tiers available</t>
        </is>
      </c>
    </row>
    <row r="8">
      <c r="A8" s="3" t="inlineStr">
        <is>
          <t>TOTAL</t>
        </is>
      </c>
      <c r="B8" t="inlineStr"/>
      <c r="C8" s="4">
        <f>SUM(C2:C7)</f>
        <v/>
      </c>
      <c r="D8" t="inlineStr">
        <is>
          <t>FREE STACK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6" customWidth="1" min="4" max="4"/>
    <col width="34" customWidth="1" min="5" max="5"/>
    <col width="12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Severity</t>
        </is>
      </c>
      <c r="C1" s="6" t="inlineStr">
        <is>
          <t>Agent</t>
        </is>
      </c>
      <c r="D1" s="6" t="inlineStr">
        <is>
          <t>Issue</t>
        </is>
      </c>
      <c r="E1" s="6" t="inlineStr">
        <is>
          <t>Action Needed</t>
        </is>
      </c>
      <c r="F1" s="6" t="inlineStr">
        <is>
          <t>Status</t>
        </is>
      </c>
      <c r="G1" s="6" t="inlineStr">
        <is>
          <t>Resolved Date</t>
        </is>
      </c>
    </row>
    <row r="2">
      <c r="A2" t="inlineStr">
        <is>
          <t>(sample)</t>
        </is>
      </c>
      <c r="B2" t="inlineStr">
        <is>
          <t>P1</t>
        </is>
      </c>
      <c r="C2" t="inlineStr">
        <is>
          <t>B5 SETTLEMENT</t>
        </is>
      </c>
      <c r="D2" t="inlineStr">
        <is>
          <t>S03 May settlement mein ₹4,300 extra commission</t>
        </is>
      </c>
      <c r="E2" t="inlineStr">
        <is>
          <t>Dispute draft approve karo</t>
        </is>
      </c>
      <c r="F2" t="inlineStr">
        <is>
          <t>OPEN</t>
        </is>
      </c>
      <c r="G2" t="inlineStr"/>
    </row>
  </sheetData>
  <conditionalFormatting sqref="B2:B200">
    <cfRule type="cellIs" priority="1" operator="equal" dxfId="2">
      <formula>"P0"</formula>
    </cfRule>
    <cfRule type="cellIs" priority="2" operator="equal" dxfId="0">
      <formula>"P1"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40" customWidth="1" min="4" max="4"/>
    <col width="10" customWidth="1" min="5" max="5"/>
    <col width="14" customWidth="1" min="6" max="6"/>
    <col width="16" customWidth="1" min="7" max="7"/>
  </cols>
  <sheetData>
    <row r="1">
      <c r="A1" s="6" t="inlineStr">
        <is>
          <t>ID</t>
        </is>
      </c>
      <c r="B1" s="6" t="inlineStr">
        <is>
          <t>Priority</t>
        </is>
      </c>
      <c r="C1" s="6" t="inlineStr">
        <is>
          <t>Task</t>
        </is>
      </c>
      <c r="D1" s="6" t="inlineStr">
        <is>
          <t>Spec/Acceptance Criteria</t>
        </is>
      </c>
      <c r="E1" s="6" t="inlineStr">
        <is>
          <t>Assigned</t>
        </is>
      </c>
      <c r="F1" s="6" t="inlineStr">
        <is>
          <t>Status</t>
        </is>
      </c>
      <c r="G1" s="6" t="inlineStr">
        <is>
          <t>Verify Result</t>
        </is>
      </c>
    </row>
    <row r="2">
      <c r="A2" t="inlineStr">
        <is>
          <t>T-001</t>
        </is>
      </c>
      <c r="B2" t="inlineStr">
        <is>
          <t>P2</t>
        </is>
      </c>
      <c r="C2" t="inlineStr">
        <is>
          <t>Listing auto-publish on karo (pilot S01, S04)</t>
        </is>
      </c>
      <c r="D2" t="inlineStr">
        <is>
          <t>2 hafte manual approval se koi QC reject na ho</t>
        </is>
      </c>
      <c r="E2" t="inlineStr">
        <is>
          <t>CODER</t>
        </is>
      </c>
      <c r="F2" t="inlineStr">
        <is>
          <t>ASSIGNED</t>
        </is>
      </c>
      <c r="G2" t="inlineStr"/>
    </row>
    <row r="3">
      <c r="A3" t="inlineStr">
        <is>
          <t>T-002</t>
        </is>
      </c>
      <c r="B3" t="inlineStr">
        <is>
          <t>P3</t>
        </is>
      </c>
      <c r="C3" t="inlineStr">
        <is>
          <t>S02 rate confirm karo (4% tentative)</t>
        </is>
      </c>
      <c r="D3" t="inlineStr">
        <is>
          <t>Seller se written confirm milna</t>
        </is>
      </c>
      <c r="E3" t="inlineStr">
        <is>
          <t>CRM</t>
        </is>
      </c>
      <c r="F3" t="inlineStr">
        <is>
          <t>OPEN</t>
        </is>
      </c>
      <c r="G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12" customWidth="1" min="4" max="4"/>
  </cols>
  <sheetData>
    <row r="1">
      <c r="A1" s="6" t="inlineStr">
        <is>
          <t>Time</t>
        </is>
      </c>
      <c r="B1" s="6" t="inlineStr">
        <is>
          <t>Agent</t>
        </is>
      </c>
      <c r="C1" s="6" t="inlineStr">
        <is>
          <t>Kaam</t>
        </is>
      </c>
      <c r="D1" s="6" t="inlineStr">
        <is>
          <t>Frequency</t>
        </is>
      </c>
    </row>
    <row r="2">
      <c r="A2" t="inlineStr">
        <is>
          <t>07:00</t>
        </is>
      </c>
      <c r="B2" t="inlineStr">
        <is>
          <t>FINANCE + ORCHESTRATOR</t>
        </is>
      </c>
      <c r="C2" t="inlineStr">
        <is>
          <t>GMV + aapka % + exceptions + today's priorities</t>
        </is>
      </c>
      <c r="D2" t="inlineStr">
        <is>
          <t>daily</t>
        </is>
      </c>
    </row>
    <row r="3">
      <c r="A3" t="inlineStr">
        <is>
          <t>02:00</t>
        </is>
      </c>
      <c r="B3" t="inlineStr">
        <is>
          <t>SYSTEM</t>
        </is>
      </c>
      <c r="C3" t="inlineStr">
        <is>
          <t>tar of data/ + .env → /backup → Drive push</t>
        </is>
      </c>
      <c r="D3" t="inlineStr">
        <is>
          <t>daily</t>
        </is>
      </c>
    </row>
    <row r="4">
      <c r="A4" t="inlineStr">
        <is>
          <t>03:00</t>
        </is>
      </c>
      <c r="B4" t="inlineStr">
        <is>
          <t>GUARDIAN</t>
        </is>
      </c>
      <c r="C4" t="inlineStr">
        <is>
          <t>API access log, 2FA, backup integrity, anomaly scan</t>
        </is>
      </c>
      <c r="D4" t="inlineStr">
        <is>
          <t>daily</t>
        </is>
      </c>
    </row>
    <row r="5">
      <c r="A5" t="inlineStr">
        <is>
          <t>07:30</t>
        </is>
      </c>
      <c r="B5" t="inlineStr">
        <is>
          <t>B5 SETTLEMENT</t>
        </is>
      </c>
      <c r="C5" t="inlineStr">
        <is>
          <t>new settlements → reconciliation</t>
        </is>
      </c>
      <c r="D5" t="inlineStr">
        <is>
          <t>daily</t>
        </is>
      </c>
    </row>
    <row r="6">
      <c r="A6" t="inlineStr">
        <is>
          <t>08:00</t>
        </is>
      </c>
      <c r="B6" t="inlineStr">
        <is>
          <t>MARKET INTEL</t>
        </is>
      </c>
      <c r="C6" t="inlineStr">
        <is>
          <t>policy changes, trends, competitor moves</t>
        </is>
      </c>
      <c r="D6" t="inlineStr">
        <is>
          <t>daily</t>
        </is>
      </c>
    </row>
    <row r="7">
      <c r="A7" t="inlineStr">
        <is>
          <t>08:30</t>
        </is>
      </c>
      <c r="B7" t="inlineStr">
        <is>
          <t>B6 PERFORMANCE</t>
        </is>
      </c>
      <c r="C7" t="inlineStr">
        <is>
          <t>cancellation/RTD/return/rating vs safe zones</t>
        </is>
      </c>
      <c r="D7" t="inlineStr">
        <is>
          <t>daily</t>
        </is>
      </c>
    </row>
    <row r="8">
      <c r="A8" t="inlineStr"/>
      <c r="B8" t="inlineStr">
        <is>
          <t>B2 INVENTORY</t>
        </is>
      </c>
      <c r="C8" t="inlineStr">
        <is>
          <t>stock check + low-stock pause + reorder alerts</t>
        </is>
      </c>
      <c r="D8" t="inlineStr">
        <is>
          <t>every 30 min</t>
        </is>
      </c>
    </row>
    <row r="9">
      <c r="A9" t="inlineStr"/>
      <c r="B9" t="inlineStr">
        <is>
          <t>B3 ORDERS</t>
        </is>
      </c>
      <c r="C9" t="inlineStr">
        <is>
          <t>order accept + RTD SLA countdown</t>
        </is>
      </c>
      <c r="D9" t="inlineStr">
        <is>
          <t>real-time</t>
        </is>
      </c>
    </row>
    <row r="10">
      <c r="A10" t="inlineStr">
        <is>
          <t>22:00</t>
        </is>
      </c>
      <c r="B10" t="inlineStr">
        <is>
          <t>B7 ADS</t>
        </is>
      </c>
      <c r="C10" t="inlineStr">
        <is>
          <t>ROAS check, pauses, budget shifts</t>
        </is>
      </c>
      <c r="D10" t="inlineStr">
        <is>
          <t>daily</t>
        </is>
      </c>
    </row>
    <row r="11">
      <c r="A11" t="inlineStr">
        <is>
          <t>23:00</t>
        </is>
      </c>
      <c r="B11" t="inlineStr">
        <is>
          <t>MASTER</t>
        </is>
      </c>
      <c r="C11" t="inlineStr">
        <is>
          <t>daily review → tomorrow priorities</t>
        </is>
      </c>
      <c r="D11" t="inlineStr">
        <is>
          <t>daily</t>
        </is>
      </c>
    </row>
    <row r="12">
      <c r="A12" t="inlineStr">
        <is>
          <t>18:00</t>
        </is>
      </c>
      <c r="B12" t="inlineStr">
        <is>
          <t>ALL</t>
        </is>
      </c>
      <c r="C12" t="inlineStr">
        <is>
          <t>per-seller reports + Master Report</t>
        </is>
      </c>
      <c r="D12" t="inlineStr">
        <is>
          <t>friday</t>
        </is>
      </c>
    </row>
    <row r="13">
      <c r="A13" t="inlineStr">
        <is>
          <t>03:30</t>
        </is>
      </c>
      <c r="B13" t="inlineStr">
        <is>
          <t>BACKUP</t>
        </is>
      </c>
      <c r="C13" t="inlineStr">
        <is>
          <t>weekly restore verification</t>
        </is>
      </c>
      <c r="D13" t="inlineStr">
        <is>
          <t>sunday</t>
        </is>
      </c>
    </row>
    <row r="14">
      <c r="A14" t="inlineStr">
        <is>
          <t>01:00</t>
        </is>
      </c>
      <c r="B14" t="inlineStr">
        <is>
          <t>FINANCE</t>
        </is>
      </c>
      <c r="C14" t="inlineStr">
        <is>
          <t>full month commission − costs</t>
        </is>
      </c>
      <c r="D14" t="inlineStr">
        <is>
          <t>monthly</t>
        </is>
      </c>
    </row>
    <row r="15">
      <c r="A15" t="inlineStr">
        <is>
          <t>01:00</t>
        </is>
      </c>
      <c r="B15" t="inlineStr">
        <is>
          <t>SELLER CRM</t>
        </is>
      </c>
      <c r="C15" t="inlineStr">
        <is>
          <t>monthly professional PDF per seller</t>
        </is>
      </c>
      <c r="D15" t="inlineStr">
        <is>
          <t>monthly</t>
        </is>
      </c>
    </row>
    <row r="16">
      <c r="A16" t="inlineStr"/>
      <c r="B16" t="inlineStr">
        <is>
          <t>GUARDIAN</t>
        </is>
      </c>
      <c r="C16" t="inlineStr">
        <is>
          <t>API keys rotation (sellers se naye)</t>
        </is>
      </c>
      <c r="D16" t="inlineStr">
        <is>
          <t>quarterly</t>
        </is>
      </c>
    </row>
    <row r="17">
      <c r="A17" t="inlineStr"/>
      <c r="B17" t="inlineStr">
        <is>
          <t>GUARDIAN</t>
        </is>
      </c>
      <c r="C17" t="inlineStr">
        <is>
          <t>monthly kill switch drill</t>
        </is>
      </c>
      <c r="D17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2026-09-08T06:52:12Z</dcterms:created>
  <dcterms:modified xmlns:dcterms="http://purl.org/dc/terms/" xmlns:xsi="http://www.w3.org/2001/XMLSchema-instance" xsi:type="dcterms:W3CDTF">2026-09-08T06:52:12Z</dcterms:modified>
</cp:coreProperties>
</file>